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belgi\OneDrive\Documents\Faculdade\2ANO\2SEMESTRE\EngRequisitos&amp;Testes\FINAL\"/>
    </mc:Choice>
  </mc:AlternateContent>
  <xr:revisionPtr revIDLastSave="0" documentId="13_ncr:1_{ED04E018-0EBA-41CC-9BC6-E8AE11950A6C}" xr6:coauthVersionLast="47" xr6:coauthVersionMax="47" xr10:uidLastSave="{00000000-0000-0000-0000-000000000000}"/>
  <bookViews>
    <workbookView xWindow="-120" yWindow="-120" windowWidth="29040" windowHeight="15840" tabRatio="620" xr2:uid="{00000000-000D-0000-FFFF-FFFF00000000}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6" l="1"/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4" i="7"/>
  <c r="G1" i="7" l="1"/>
  <c r="G32" i="7" l="1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K19" i="7"/>
  <c r="K20" i="7"/>
  <c r="K21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L20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25" i="7" l="1"/>
  <c r="O43" i="7"/>
  <c r="R43" i="7" s="1"/>
  <c r="U43" i="7" s="1"/>
  <c r="O60" i="7"/>
  <c r="R60" i="7" s="1"/>
  <c r="O44" i="7"/>
  <c r="R44" i="7" s="1"/>
  <c r="U44" i="7" s="1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R31" i="7" s="1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O53" i="7"/>
  <c r="O51" i="7"/>
  <c r="R51" i="7" s="1"/>
  <c r="U51" i="7" s="1"/>
  <c r="O58" i="7"/>
  <c r="O56" i="7"/>
  <c r="R56" i="7" s="1"/>
  <c r="U56" i="7" s="1"/>
  <c r="O54" i="7"/>
  <c r="R54" i="7" s="1"/>
  <c r="R53" i="7"/>
  <c r="O52" i="7"/>
  <c r="R52" i="7" s="1"/>
  <c r="U52" i="7" s="1"/>
  <c r="O50" i="7"/>
  <c r="R50" i="7" s="1"/>
  <c r="O48" i="7"/>
  <c r="R48" i="7" s="1"/>
  <c r="O46" i="7"/>
  <c r="R46" i="7" s="1"/>
  <c r="U46" i="7" s="1"/>
  <c r="O42" i="7"/>
  <c r="R41" i="7"/>
  <c r="O40" i="7"/>
  <c r="O38" i="7"/>
  <c r="O36" i="7"/>
  <c r="O34" i="7"/>
  <c r="R33" i="7"/>
  <c r="O32" i="7"/>
  <c r="O30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25" i="7"/>
  <c r="O6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X43" i="7" l="1"/>
  <c r="AA43" i="7" s="1"/>
  <c r="R21" i="7"/>
  <c r="U21" i="7" s="1"/>
  <c r="X44" i="7"/>
  <c r="AA44" i="7" s="1"/>
  <c r="R39" i="7"/>
  <c r="R23" i="7"/>
  <c r="R19" i="7"/>
  <c r="U19" i="7" s="1"/>
  <c r="R29" i="7"/>
  <c r="U29" i="7" s="1"/>
  <c r="R37" i="7"/>
  <c r="U37" i="7" s="1"/>
  <c r="R47" i="7"/>
  <c r="U53" i="7"/>
  <c r="X53" i="7" s="1"/>
  <c r="AA53" i="7" s="1"/>
  <c r="R13" i="7"/>
  <c r="U13" i="7" s="1"/>
  <c r="U31" i="7"/>
  <c r="U60" i="7"/>
  <c r="X60" i="7" s="1"/>
  <c r="AA60" i="7" s="1"/>
  <c r="R59" i="7"/>
  <c r="U59" i="7" s="1"/>
  <c r="R5" i="7"/>
  <c r="U5" i="7" s="1"/>
  <c r="R27" i="7"/>
  <c r="U27" i="7" s="1"/>
  <c r="R35" i="7"/>
  <c r="U35" i="7" s="1"/>
  <c r="R45" i="7"/>
  <c r="U45" i="7" s="1"/>
  <c r="R57" i="7"/>
  <c r="U14" i="7"/>
  <c r="X15" i="7"/>
  <c r="AA15" i="7" s="1"/>
  <c r="AD15" i="7" s="1"/>
  <c r="AG15" i="7" s="1"/>
  <c r="X45" i="7"/>
  <c r="U25" i="7"/>
  <c r="R11" i="7"/>
  <c r="U11" i="7" s="1"/>
  <c r="U12" i="7"/>
  <c r="X8" i="7"/>
  <c r="AA8" i="7" s="1"/>
  <c r="U10" i="7"/>
  <c r="R20" i="7"/>
  <c r="U20" i="7" s="1"/>
  <c r="X22" i="7"/>
  <c r="AA22" i="7" s="1"/>
  <c r="R26" i="7"/>
  <c r="R34" i="7"/>
  <c r="R36" i="7"/>
  <c r="R42" i="7"/>
  <c r="R49" i="7"/>
  <c r="X46" i="7"/>
  <c r="U17" i="7"/>
  <c r="U39" i="7"/>
  <c r="U41" i="7"/>
  <c r="U47" i="7"/>
  <c r="R58" i="7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AA46" i="7"/>
  <c r="X52" i="7"/>
  <c r="X56" i="7"/>
  <c r="U23" i="7"/>
  <c r="R61" i="7"/>
  <c r="U61" i="7" s="1"/>
  <c r="X61" i="7" s="1"/>
  <c r="AA61" i="7" s="1"/>
  <c r="AD44" i="7" l="1"/>
  <c r="AG44" i="7" s="1"/>
  <c r="AD43" i="7"/>
  <c r="AG43" i="7" s="1"/>
  <c r="X25" i="7"/>
  <c r="X31" i="7"/>
  <c r="AA31" i="7" s="1"/>
  <c r="X10" i="7"/>
  <c r="AA10" i="7" s="1"/>
  <c r="AD10" i="7" s="1"/>
  <c r="X59" i="7"/>
  <c r="AA59" i="7" s="1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X11" i="7"/>
  <c r="AA11" i="7" s="1"/>
  <c r="X14" i="7"/>
  <c r="AA14" i="7" s="1"/>
  <c r="AD60" i="7"/>
  <c r="AG60" i="7" s="1"/>
  <c r="X23" i="7"/>
  <c r="AA23" i="7" s="1"/>
  <c r="X19" i="7"/>
  <c r="AA19" i="7" s="1"/>
  <c r="U30" i="7"/>
  <c r="U32" i="7"/>
  <c r="AD9" i="7"/>
  <c r="X47" i="7"/>
  <c r="X39" i="7"/>
  <c r="AA39" i="7" s="1"/>
  <c r="AD46" i="7"/>
  <c r="AG46" i="7" s="1"/>
  <c r="U42" i="7"/>
  <c r="U36" i="7"/>
  <c r="X36" i="7" s="1"/>
  <c r="X29" i="7"/>
  <c r="U26" i="7"/>
  <c r="AD8" i="7"/>
  <c r="AG8" i="7" s="1"/>
  <c r="AA48" i="7"/>
  <c r="AD48" i="7" s="1"/>
  <c r="AA28" i="7"/>
  <c r="AD28" i="7" s="1"/>
  <c r="AG28" i="7" s="1"/>
  <c r="U6" i="7"/>
  <c r="X20" i="7"/>
  <c r="AA20" i="7" s="1"/>
  <c r="AA55" i="7"/>
  <c r="AD55" i="7" s="1"/>
  <c r="AA51" i="7"/>
  <c r="AD51" i="7" s="1"/>
  <c r="AA56" i="7"/>
  <c r="AA52" i="7"/>
  <c r="X32" i="7"/>
  <c r="X17" i="7"/>
  <c r="AJ44" i="7"/>
  <c r="AM44" i="7" s="1"/>
  <c r="AP44" i="7" s="1"/>
  <c r="U40" i="7"/>
  <c r="X33" i="7"/>
  <c r="AA33" i="7" s="1"/>
  <c r="X24" i="7"/>
  <c r="AD7" i="7"/>
  <c r="AG7" i="7" s="1"/>
  <c r="AJ7" i="7" s="1"/>
  <c r="U38" i="7"/>
  <c r="X38" i="7" s="1"/>
  <c r="X27" i="7"/>
  <c r="AA27" i="7" s="1"/>
  <c r="U58" i="7"/>
  <c r="X58" i="7" s="1"/>
  <c r="X41" i="7"/>
  <c r="X37" i="7"/>
  <c r="AA37" i="7" s="1"/>
  <c r="U49" i="7"/>
  <c r="U34" i="7"/>
  <c r="X12" i="7"/>
  <c r="AD31" i="7"/>
  <c r="AD22" i="7"/>
  <c r="X54" i="7"/>
  <c r="X50" i="7"/>
  <c r="AD53" i="7"/>
  <c r="AA18" i="7"/>
  <c r="AD18" i="7" s="1"/>
  <c r="U16" i="7"/>
  <c r="AA25" i="7"/>
  <c r="AJ43" i="7"/>
  <c r="AJ15" i="7"/>
  <c r="AD61" i="7"/>
  <c r="AD21" i="7" l="1"/>
  <c r="AG21" i="7" s="1"/>
  <c r="AD5" i="7"/>
  <c r="AG5" i="7" s="1"/>
  <c r="AJ5" i="7" s="1"/>
  <c r="AG10" i="7"/>
  <c r="AJ10" i="7" s="1"/>
  <c r="AG45" i="7"/>
  <c r="AJ45" i="7" s="1"/>
  <c r="AM45" i="7" s="1"/>
  <c r="AD14" i="7"/>
  <c r="AG14" i="7" s="1"/>
  <c r="AJ14" i="7" s="1"/>
  <c r="AG35" i="7"/>
  <c r="AJ35" i="7" s="1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AG51" i="7"/>
  <c r="AD20" i="7"/>
  <c r="AJ8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D24" i="7" s="1"/>
  <c r="AJ28" i="7"/>
  <c r="AG22" i="7"/>
  <c r="AD25" i="7"/>
  <c r="AG25" i="7" s="1"/>
  <c r="AJ25" i="7" s="1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AA38" i="7"/>
  <c r="AD38" i="7" s="1"/>
  <c r="AA17" i="7"/>
  <c r="AD17" i="7" s="1"/>
  <c r="AG55" i="7"/>
  <c r="AJ55" i="7" s="1"/>
  <c r="AA42" i="7"/>
  <c r="AD42" i="7" s="1"/>
  <c r="AA32" i="7"/>
  <c r="AD32" i="7" s="1"/>
  <c r="AM43" i="7"/>
  <c r="AP43" i="7" s="1"/>
  <c r="AD23" i="7"/>
  <c r="AG23" i="7" s="1"/>
  <c r="X49" i="7"/>
  <c r="AA58" i="7"/>
  <c r="AD11" i="7"/>
  <c r="AA50" i="7"/>
  <c r="AA54" i="7"/>
  <c r="AM15" i="7"/>
  <c r="AA40" i="7"/>
  <c r="AD40" i="7" s="1"/>
  <c r="AA29" i="7"/>
  <c r="X16" i="7"/>
  <c r="AD56" i="7"/>
  <c r="AA41" i="7"/>
  <c r="AG61" i="7"/>
  <c r="AM13" i="7" l="1"/>
  <c r="AM10" i="7"/>
  <c r="AP10" i="7" s="1"/>
  <c r="AS10" i="7" s="1"/>
  <c r="AV10" i="7" s="1"/>
  <c r="AY10" i="7" s="1"/>
  <c r="AG32" i="7"/>
  <c r="AJ32" i="7" s="1"/>
  <c r="AM32" i="7" s="1"/>
  <c r="AP32" i="7" s="1"/>
  <c r="AS32" i="7" s="1"/>
  <c r="AV32" i="7" s="1"/>
  <c r="AY32" i="7" s="1"/>
  <c r="AA57" i="7"/>
  <c r="AD57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G54" i="7" s="1"/>
  <c r="AJ54" i="7" s="1"/>
  <c r="AM54" i="7" s="1"/>
  <c r="AP54" i="7" s="1"/>
  <c r="AS54" i="7" s="1"/>
  <c r="AV54" i="7" s="1"/>
  <c r="AY54" i="7" s="1"/>
  <c r="CE54" i="7" s="1"/>
  <c r="AS43" i="7"/>
  <c r="AV43" i="7" s="1"/>
  <c r="AY43" i="7" s="1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G57" i="7" l="1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BB16" i="7" l="1"/>
  <c r="BE16" i="7" s="1"/>
  <c r="BH16" i="7" s="1"/>
  <c r="BK16" i="7" s="1"/>
  <c r="BN16" i="7" s="1"/>
  <c r="BQ16" i="7" s="1"/>
  <c r="BT16" i="7" s="1"/>
  <c r="BW16" i="7" s="1"/>
  <c r="BZ16" i="7" s="1"/>
  <c r="CC16" i="7" s="1"/>
  <c r="CE35" i="7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D3" i="6"/>
  <c r="I6" i="6" s="1"/>
  <c r="J1" i="7"/>
  <c r="M1" i="7" s="1"/>
  <c r="P2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10" i="6"/>
  <c r="I12" i="6"/>
  <c r="I15" i="6"/>
  <c r="J6" i="6"/>
  <c r="I23" i="6"/>
  <c r="I24" i="6"/>
  <c r="I20" i="6"/>
  <c r="I18" i="6"/>
  <c r="I13" i="6"/>
  <c r="I11" i="6"/>
  <c r="I14" i="6"/>
  <c r="E20" i="8"/>
  <c r="E36" i="8" s="1"/>
  <c r="P1" i="7"/>
  <c r="F20" i="8"/>
  <c r="G9" i="6" l="1"/>
  <c r="G8" i="6"/>
  <c r="E37" i="8"/>
  <c r="C25" i="9"/>
  <c r="N67" i="7"/>
  <c r="O4" i="7"/>
  <c r="BJ67" i="7"/>
  <c r="E23" i="8"/>
  <c r="E24" i="8" s="1"/>
  <c r="E22" i="8"/>
  <c r="E31" i="8"/>
  <c r="E35" i="8"/>
  <c r="P22" i="6"/>
  <c r="P24" i="6"/>
  <c r="P20" i="6"/>
  <c r="P14" i="6"/>
  <c r="P12" i="6"/>
  <c r="P15" i="6"/>
  <c r="P18" i="6"/>
  <c r="Q6" i="6"/>
  <c r="P25" i="6"/>
  <c r="P21" i="6"/>
  <c r="P23" i="6"/>
  <c r="P19" i="6"/>
  <c r="P11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C8" i="6" l="1"/>
  <c r="R4" i="7"/>
  <c r="U4" i="7" s="1"/>
  <c r="F36" i="8"/>
  <c r="Q67" i="7"/>
  <c r="F31" i="8"/>
  <c r="W67" i="7"/>
  <c r="T67" i="7"/>
  <c r="F37" i="8"/>
  <c r="F35" i="8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M6" i="6"/>
  <c r="L22" i="6"/>
  <c r="L24" i="6"/>
  <c r="L20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11" i="6"/>
  <c r="M24" i="6"/>
  <c r="M25" i="6"/>
  <c r="M23" i="6"/>
  <c r="N6" i="6"/>
  <c r="O6" i="6" s="1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W8" i="6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W9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5" i="8" s="1"/>
  <c r="R29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7" i="8"/>
  <c r="R28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Mitch Lacey</author>
    <author>James Waletzky</author>
  </authors>
  <commentList>
    <comment ref="I2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 xr:uid="{00000000-0006-0000-0100-000002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<sst xmlns="http://schemas.openxmlformats.org/spreadsheetml/2006/main" count="454" uniqueCount="205">
  <si>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</si>
  <si>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</si>
  <si>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</si>
  <si>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</si>
  <si>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</si>
  <si>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</si>
  <si>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</si>
  <si>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</si>
  <si>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</si>
  <si>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</si>
  <si>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</si>
  <si>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</si>
  <si>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</si>
  <si>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</si>
  <si>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</si>
  <si>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</si>
  <si>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</si>
  <si>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</si>
  <si>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</si>
  <si>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</si>
  <si>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</si>
  <si>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</si>
  <si>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</si>
  <si>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</si>
  <si>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</si>
  <si>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</si>
  <si>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</si>
  <si>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</si>
  <si>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</si>
  <si>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</si>
  <si>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</si>
  <si>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</si>
  <si>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</si>
  <si>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</si>
  <si>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</si>
  <si>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</si>
  <si>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</si>
  <si>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</si>
  <si>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</si>
  <si>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</si>
  <si>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</si>
  <si>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</si>
  <si>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</si>
  <si>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</si>
  <si>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</si>
  <si>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</si>
  <si>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</si>
  <si>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</si>
  <si>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</si>
  <si>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</si>
  <si>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</si>
  <si>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</si>
  <si>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</si>
  <si>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</si>
  <si>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</si>
  <si>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</si>
  <si>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</si>
  <si>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</si>
  <si>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</si>
  <si>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</si>
  <si>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</si>
  <si>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</si>
  <si>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</si>
  <si>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</si>
  <si>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</si>
  <si>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</si>
  <si>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</si>
  <si>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</si>
  <si>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</si>
  <si>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</si>
  <si>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</si>
  <si>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</si>
  <si>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</si>
  <si>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</si>
  <si>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</si>
  <si>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</si>
  <si>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</si>
  <si>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</si>
  <si>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</si>
  <si>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</si>
  <si>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</si>
  <si>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</si>
  <si>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</si>
  <si>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</si>
  <si>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</si>
  <si>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</si>
  <si>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</si>
  <si>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</si>
  <si>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</si>
  <si>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</si>
  <si>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</si>
  <si>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</si>
  <si>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</si>
  <si>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</si>
  <si>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</si>
  <si>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</si>
  <si>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</si>
  <si>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</si>
  <si>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</si>
  <si>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</si>
  <si>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</si>
  <si>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</si>
  <si>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</si>
  <si>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</si>
  <si>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</si>
  <si>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</si>
  <si>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</si>
  <si>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</si>
  <si>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</si>
  <si>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</si>
  <si>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</si>
  <si>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</si>
  <si>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</si>
  <si>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</si>
  <si>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</si>
  <si>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</si>
  <si>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</si>
  <si>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</si>
  <si>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</si>
  <si>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</si>
  <si>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</si>
  <si>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</si>
  <si>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</si>
  <si>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</si>
  <si>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</si>
  <si>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</si>
  <si>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</si>
  <si>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</si>
  <si>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</si>
  <si>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</si>
  <si>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</si>
  <si>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</si>
  <si>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</si>
  <si>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</si>
  <si>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Acesso às funções administrativas do sistema</t>
  </si>
  <si>
    <t>Gerir candidatos</t>
  </si>
  <si>
    <t xml:space="preserve">Alteração de dados
</t>
  </si>
  <si>
    <t xml:space="preserve">Notificar candidatos
</t>
  </si>
  <si>
    <t xml:space="preserve">Criação de oferta
</t>
  </si>
  <si>
    <t xml:space="preserve">Edição de oferta
</t>
  </si>
  <si>
    <t xml:space="preserve">Eliminação de oferta
</t>
  </si>
  <si>
    <t xml:space="preserve">Finalização de oferta
</t>
  </si>
  <si>
    <t xml:space="preserve">Preenchimento dos campos obrigatórios da ficha de inscrição 
</t>
  </si>
  <si>
    <t xml:space="preserve">Anexação do CV
</t>
  </si>
  <si>
    <t xml:space="preserve">Analise de dados como Gestor
</t>
  </si>
  <si>
    <t xml:space="preserve">Analise de dados como Candidato
</t>
  </si>
  <si>
    <t xml:space="preserve">Adição de um trabalhador à base de dados
</t>
  </si>
  <si>
    <t xml:space="preserve">Analisar contratados
</t>
  </si>
  <si>
    <t xml:space="preserve">Análise dos candidatos que satsifazem os critérios de avaliação
</t>
  </si>
  <si>
    <t xml:space="preserve">Propor Avaliação
</t>
  </si>
  <si>
    <t xml:space="preserve">Adição de candidato à base de dados
</t>
  </si>
  <si>
    <t xml:space="preserve">Disponibilizar lista  de candidatos
</t>
  </si>
  <si>
    <t xml:space="preserve">Notificar candidatos 
</t>
  </si>
  <si>
    <t xml:space="preserve">Registo da Avaliação realizada pelo candidato
</t>
  </si>
  <si>
    <t xml:space="preserve">Notificar Candidato para realização da avaliação
</t>
  </si>
  <si>
    <t xml:space="preserve">Notificar Candidato do resultado da avalição
</t>
  </si>
  <si>
    <t xml:space="preserve">Marcar documento como válido 
</t>
  </si>
  <si>
    <t xml:space="preserve">Marcar documento como inválido 
</t>
  </si>
  <si>
    <t xml:space="preserve">Automação de testes
</t>
  </si>
  <si>
    <t xml:space="preserve">Correção de erros de testes
</t>
  </si>
  <si>
    <t>1.1.1</t>
  </si>
  <si>
    <t>1.1.2</t>
  </si>
  <si>
    <t>1.1.3</t>
  </si>
  <si>
    <t>1.1.4</t>
  </si>
  <si>
    <t>1.2.1</t>
  </si>
  <si>
    <t>1.2.2</t>
  </si>
  <si>
    <t>1.2.3</t>
  </si>
  <si>
    <t>1.2.4</t>
  </si>
  <si>
    <t>1.3.1</t>
  </si>
  <si>
    <t>1.3.2</t>
  </si>
  <si>
    <t>1.1</t>
  </si>
  <si>
    <t>1.2</t>
  </si>
  <si>
    <t>1.3</t>
  </si>
  <si>
    <t>1.4</t>
  </si>
  <si>
    <t>1.4.1</t>
  </si>
  <si>
    <t>1.5</t>
  </si>
  <si>
    <t>1.5.1</t>
  </si>
  <si>
    <t>1.5.2</t>
  </si>
  <si>
    <t>1.6</t>
  </si>
  <si>
    <t>1.6.1</t>
  </si>
  <si>
    <t>1.6.2</t>
  </si>
  <si>
    <t>1.7</t>
  </si>
  <si>
    <t>1.7.1</t>
  </si>
  <si>
    <t>1.7.2</t>
  </si>
  <si>
    <t>1.7.3</t>
  </si>
  <si>
    <t>1.8</t>
  </si>
  <si>
    <t>1.8.1</t>
  </si>
  <si>
    <t>1.8.2</t>
  </si>
  <si>
    <t>1.8.3</t>
  </si>
  <si>
    <t>1.9</t>
  </si>
  <si>
    <t>1.9.1</t>
  </si>
  <si>
    <t>1.9.2</t>
  </si>
  <si>
    <t>1.9.3</t>
  </si>
  <si>
    <t>1.10</t>
  </si>
  <si>
    <t>1.10.1</t>
  </si>
  <si>
    <t>1.10.2</t>
  </si>
  <si>
    <t>1.11</t>
  </si>
  <si>
    <t>1.11.1</t>
  </si>
  <si>
    <t>1.11.2</t>
  </si>
  <si>
    <t>ricardogoncalves2001@gmail.com</t>
  </si>
  <si>
    <t>Ricardo Gonçalves</t>
  </si>
  <si>
    <t>Miguel Carreta</t>
  </si>
  <si>
    <t>miguelcarreta95@hotmail.com</t>
  </si>
  <si>
    <t xml:space="preserve">Definição das características procuradas
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</si>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</sst>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6" xr:uid="{00000000-0005-0000-0000-000003000000}"/>
    <cellStyle name="Accent2 - 40%" xfId="7" xr:uid="{00000000-0005-0000-0000-000004000000}"/>
    <cellStyle name="Accent2 - 60%" xfId="8" xr:uid="{00000000-0005-0000-0000-000005000000}"/>
    <cellStyle name="Accent3 - 20%" xfId="10" xr:uid="{00000000-0005-0000-0000-000006000000}"/>
    <cellStyle name="Accent3 - 40%" xfId="11" xr:uid="{00000000-0005-0000-0000-000007000000}"/>
    <cellStyle name="Accent3 - 60%" xfId="12" xr:uid="{00000000-0005-0000-0000-000008000000}"/>
    <cellStyle name="Accent4 - 20%" xfId="14" xr:uid="{00000000-0005-0000-0000-000009000000}"/>
    <cellStyle name="Accent4 - 40%" xfId="15" xr:uid="{00000000-0005-0000-0000-00000A000000}"/>
    <cellStyle name="Accent4 - 60%" xfId="16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2" xr:uid="{00000000-0005-0000-0000-00000F000000}"/>
    <cellStyle name="Accent6 - 40%" xfId="23" xr:uid="{00000000-0005-0000-0000-000010000000}"/>
    <cellStyle name="Accent6 - 60%" xfId="24" xr:uid="{00000000-0005-0000-0000-000011000000}"/>
    <cellStyle name="Cabeçalho 1" xfId="32" builtinId="16" customBuiltin="1"/>
    <cellStyle name="Cabeçalho 2" xfId="33" builtinId="17" customBuiltin="1"/>
    <cellStyle name="Cabeçalho 3" xfId="34" builtinId="18" customBuiltin="1"/>
    <cellStyle name="Cabeçalho 4" xfId="35" builtinId="19" customBuiltin="1"/>
    <cellStyle name="Cálculo" xfId="26" builtinId="22" customBuiltin="1"/>
    <cellStyle name="Célula Ligada" xfId="38" builtinId="24" customBuiltin="1"/>
    <cellStyle name="Cor1" xfId="1" builtinId="29" customBuiltin="1"/>
    <cellStyle name="Cor2" xfId="5" builtinId="33" customBuiltin="1"/>
    <cellStyle name="Cor3" xfId="9" builtinId="37" customBuiltin="1"/>
    <cellStyle name="Cor4" xfId="13" builtinId="41" customBuiltin="1"/>
    <cellStyle name="Cor5" xfId="17" builtinId="45" customBuiltin="1"/>
    <cellStyle name="Cor6" xfId="21" builtinId="49" customBuiltin="1"/>
    <cellStyle name="Correto" xfId="31" builtinId="26" customBuiltin="1"/>
    <cellStyle name="Emphasis 1" xfId="28" xr:uid="{00000000-0005-0000-0000-00001F000000}"/>
    <cellStyle name="Emphasis 2" xfId="29" xr:uid="{00000000-0005-0000-0000-000020000000}"/>
    <cellStyle name="Emphasis 3" xfId="30" xr:uid="{00000000-0005-0000-0000-000021000000}"/>
    <cellStyle name="Entrada" xfId="37" builtinId="20" customBuiltin="1"/>
    <cellStyle name="Hiperligação" xfId="36" builtinId="8"/>
    <cellStyle name="Incorreto" xfId="25" builtinId="27" customBuiltin="1"/>
    <cellStyle name="Neutro" xfId="39" builtinId="28" customBuiltin="1"/>
    <cellStyle name="Normal" xfId="0" builtinId="0"/>
    <cellStyle name="Normal 2" xfId="45" xr:uid="{00000000-0005-0000-0000-000027000000}"/>
    <cellStyle name="Nota" xfId="40" builtinId="10" customBuiltin="1"/>
    <cellStyle name="Saída" xfId="41" builtinId="21" customBuiltin="1"/>
    <cellStyle name="Sheet Title" xfId="42" xr:uid="{00000000-0005-0000-0000-00002A000000}"/>
    <cellStyle name="Texto de Aviso" xfId="44" builtinId="11" customBuiltin="1"/>
    <cellStyle name="Total" xfId="43" builtinId="25" customBuiltin="1"/>
    <cellStyle name="Verificar Célula" xfId="27" builtinId="23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2-43F5-B5F4-06CD91C4DB47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82-43F5-B5F4-06CD91C4DB47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56</c:v>
                </c:pt>
                <c:pt idx="2">
                  <c:v>55</c:v>
                </c:pt>
                <c:pt idx="3">
                  <c:v>55</c:v>
                </c:pt>
                <c:pt idx="4">
                  <c:v>54</c:v>
                </c:pt>
                <c:pt idx="5">
                  <c:v>54</c:v>
                </c:pt>
                <c:pt idx="6">
                  <c:v>53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82-43F5-B5F4-06CD91C4D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0776"/>
        <c:axId val="158388816"/>
      </c:areaChart>
      <c:catAx>
        <c:axId val="158390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PT"/>
          </a:p>
        </c:txPr>
        <c:crossAx val="15838881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583888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5839077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8</c:v>
                </c:pt>
                <c:pt idx="1">
                  <c:v>16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40</c:v>
                </c:pt>
                <c:pt idx="6">
                  <c:v>40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A-4B26-A1DE-49BCB98F26C8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-4</c:v>
                </c:pt>
                <c:pt idx="3">
                  <c:v>0</c:v>
                </c:pt>
                <c:pt idx="4">
                  <c:v>12</c:v>
                </c:pt>
                <c:pt idx="5">
                  <c:v>0</c:v>
                </c:pt>
                <c:pt idx="6">
                  <c:v>32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A-4B26-A1DE-49BCB98F26C8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618</c:v>
                </c:pt>
                <c:pt idx="1">
                  <c:v>606</c:v>
                </c:pt>
                <c:pt idx="2">
                  <c:v>602</c:v>
                </c:pt>
                <c:pt idx="3">
                  <c:v>602</c:v>
                </c:pt>
                <c:pt idx="4">
                  <c:v>590</c:v>
                </c:pt>
                <c:pt idx="5">
                  <c:v>590</c:v>
                </c:pt>
                <c:pt idx="6">
                  <c:v>558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A-4B26-A1DE-49BCB98F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1168"/>
        <c:axId val="1583915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618</c:v>
                </c:pt>
                <c:pt idx="1">
                  <c:v>606</c:v>
                </c:pt>
                <c:pt idx="2">
                  <c:v>602</c:v>
                </c:pt>
                <c:pt idx="3">
                  <c:v>602</c:v>
                </c:pt>
                <c:pt idx="4">
                  <c:v>594</c:v>
                </c:pt>
                <c:pt idx="5">
                  <c:v>590</c:v>
                </c:pt>
                <c:pt idx="6">
                  <c:v>582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7A-4B26-A1DE-49BCB98F26C8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8</c:v>
                </c:pt>
                <c:pt idx="1">
                  <c:v>16</c:v>
                </c:pt>
                <c:pt idx="2">
                  <c:v>24</c:v>
                </c:pt>
                <c:pt idx="3">
                  <c:v>28</c:v>
                </c:pt>
                <c:pt idx="4">
                  <c:v>36</c:v>
                </c:pt>
                <c:pt idx="5">
                  <c:v>40</c:v>
                </c:pt>
                <c:pt idx="6">
                  <c:v>48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A7A-4B26-A1DE-49BCB98F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91168"/>
        <c:axId val="158391560"/>
      </c:lineChart>
      <c:catAx>
        <c:axId val="15839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PT"/>
          </a:p>
        </c:txPr>
        <c:crossAx val="1583915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583915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PT"/>
          </a:p>
        </c:txPr>
        <c:crossAx val="1583911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4-4C6B-9090-4E4FDCA29510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C4-4C6B-9090-4E4FDCA29510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C4-4C6B-9090-4E4FDCA29510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C4-4C6B-9090-4E4FDCA2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392736"/>
        <c:axId val="222304040"/>
      </c:barChart>
      <c:catAx>
        <c:axId val="15839273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4040"/>
        <c:crosses val="autoZero"/>
        <c:auto val="1"/>
        <c:lblAlgn val="ctr"/>
        <c:lblOffset val="100"/>
        <c:noMultiLvlLbl val="0"/>
      </c:catAx>
      <c:valAx>
        <c:axId val="222304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8392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CEF-9BF1-0179BF5C12F8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CEF-9BF1-0179BF5C12F8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CEF-9BF1-0179BF5C12F8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CEF-9BF1-0179BF5C12F8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CEF-9BF1-0179BF5C12F8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CEF-9BF1-0179BF5C12F8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CEF-9BF1-0179BF5C12F8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CEF-9BF1-0179BF5C12F8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CEF-9BF1-0179BF5C12F8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CEF-9BF1-0179BF5C12F8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CEF-9BF1-0179BF5C12F8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336-4CEF-9BF1-0179BF5C12F8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336-4CEF-9BF1-0179BF5C12F8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336-4CEF-9BF1-0179BF5C12F8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336-4CEF-9BF1-0179BF5C12F8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336-4CEF-9BF1-0179BF5C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00120"/>
        <c:axId val="222301296"/>
      </c:barChart>
      <c:catAx>
        <c:axId val="22230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1296"/>
        <c:crosses val="autoZero"/>
        <c:auto val="1"/>
        <c:lblAlgn val="ctr"/>
        <c:lblOffset val="100"/>
        <c:noMultiLvlLbl val="0"/>
      </c:catAx>
      <c:valAx>
        <c:axId val="2223012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2300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F-440E-9436-3E6A959D551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F-440E-9436-3E6A959D551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6F-440E-9436-3E6A959D551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6F-440E-9436-3E6A959D551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6F-440E-9436-3E6A959D5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298552"/>
        <c:axId val="222305216"/>
      </c:barChart>
      <c:catAx>
        <c:axId val="22229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5216"/>
        <c:crosses val="autoZero"/>
        <c:auto val="1"/>
        <c:lblAlgn val="ctr"/>
        <c:lblOffset val="100"/>
        <c:noMultiLvlLbl val="0"/>
      </c:catAx>
      <c:valAx>
        <c:axId val="222305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2298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iguelcarreta95@hotmail.com" TargetMode="External"/><Relationship Id="rId1" Type="http://schemas.openxmlformats.org/officeDocument/2006/relationships/hyperlink" Target="mailto:ricardogoncalves2001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G4" sqref="G4"/>
    </sheetView>
  </sheetViews>
  <sheetFormatPr defaultRowHeight="12.75" outlineLevelCol="1" x14ac:dyDescent="0.2"/>
  <cols>
    <col min="1" max="1" width="12.140625" style="6" customWidth="1"/>
    <col min="2" max="2" width="16.5703125" style="6" customWidth="1"/>
    <col min="3" max="3" width="12.140625" style="6" customWidth="1"/>
    <col min="4" max="4" width="12.85546875" style="6" customWidth="1"/>
    <col min="5" max="5" width="51.140625" style="6" customWidth="1"/>
    <col min="6" max="6" width="20.140625" style="6" hidden="1" customWidth="1"/>
    <col min="7" max="7" width="14.7109375" style="6" customWidth="1"/>
    <col min="8" max="8" width="0.140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6" width="4.28515625" style="6" customWidth="1"/>
    <col min="17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710937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44718</v>
      </c>
      <c r="H1" s="1"/>
      <c r="I1" s="1"/>
      <c r="J1" s="189">
        <f>SprintStart</f>
        <v>44718</v>
      </c>
      <c r="K1" s="189"/>
      <c r="L1" s="189"/>
      <c r="M1" s="189">
        <f>IF(AND(SkipWeekends, WEEKDAY(J1)=6),J1+3, J1+1)</f>
        <v>44719</v>
      </c>
      <c r="N1" s="189"/>
      <c r="O1" s="189"/>
      <c r="P1" s="189">
        <f>IF(AND(SkipWeekends, WEEKDAY(M1)=6),M1+3, M1+1)</f>
        <v>44720</v>
      </c>
      <c r="Q1" s="189"/>
      <c r="R1" s="189"/>
      <c r="S1" s="189">
        <f>IF(AND(SkipWeekends, WEEKDAY(P1)=6),P1+3, P1+1)</f>
        <v>44721</v>
      </c>
      <c r="T1" s="189"/>
      <c r="U1" s="189"/>
      <c r="V1" s="189">
        <f>IF(AND(SkipWeekends, WEEKDAY(S1)=6),S1+3, S1+1)</f>
        <v>44722</v>
      </c>
      <c r="W1" s="189"/>
      <c r="X1" s="189"/>
      <c r="Y1" s="189">
        <f>IF(AND(SkipWeekends, WEEKDAY(V1)=6),V1+3, V1+1)</f>
        <v>44723</v>
      </c>
      <c r="Z1" s="189"/>
      <c r="AA1" s="189"/>
      <c r="AB1" s="189">
        <f>IF(AND(SkipWeekends, WEEKDAY(Y1)=6),Y1+3, Y1+1)</f>
        <v>44724</v>
      </c>
      <c r="AC1" s="189"/>
      <c r="AD1" s="189"/>
      <c r="AE1" s="189">
        <f>IF(AND(SkipWeekends, WEEKDAY(AB1)=6),AB1+3, AB1+1)</f>
        <v>44725</v>
      </c>
      <c r="AF1" s="189"/>
      <c r="AG1" s="189"/>
      <c r="AH1" s="189">
        <f>IF(AND(SkipWeekends, WEEKDAY(AE1)=6),AE1+3, AE1+1)</f>
        <v>44726</v>
      </c>
      <c r="AI1" s="189"/>
      <c r="AJ1" s="189"/>
      <c r="AK1" s="189">
        <f>IF(AND(SkipWeekends, WEEKDAY(AH1)=6),AH1+3, AH1+1)</f>
        <v>44727</v>
      </c>
      <c r="AL1" s="189"/>
      <c r="AM1" s="189"/>
      <c r="AN1" s="189">
        <f>IF(AND(SkipWeekends, WEEKDAY(AK1)=6),AK1+3, AK1+1)</f>
        <v>44728</v>
      </c>
      <c r="AO1" s="189"/>
      <c r="AP1" s="189"/>
      <c r="AQ1" s="189">
        <f>IF(AND(SkipWeekends, WEEKDAY(AN1)=6),AN1+3, AN1+1)</f>
        <v>44729</v>
      </c>
      <c r="AR1" s="189"/>
      <c r="AS1" s="189"/>
      <c r="AT1" s="189">
        <f>IF(AND(SkipWeekends, WEEKDAY(AQ1)=6),AQ1+3, AQ1+1)</f>
        <v>44730</v>
      </c>
      <c r="AU1" s="189"/>
      <c r="AV1" s="189"/>
      <c r="AW1" s="189">
        <f>IF(AND(SkipWeekends, WEEKDAY(AT1)=6),AT1+3, AT1+1)</f>
        <v>44731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>
        <f>IF(AND(SkipWeekends, WEEKDAY(M1)=6),M1+3, M1+1)</f>
        <v>44720</v>
      </c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81</v>
      </c>
      <c r="D3" s="11" t="s">
        <v>82</v>
      </c>
      <c r="E3" s="1" t="s">
        <v>83</v>
      </c>
      <c r="F3" s="1" t="s">
        <v>92</v>
      </c>
      <c r="G3" s="1" t="s">
        <v>0</v>
      </c>
      <c r="H3" s="12" t="s">
        <v>1</v>
      </c>
      <c r="I3" s="12" t="s">
        <v>84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x14ac:dyDescent="0.25">
      <c r="A4" s="16" t="s">
        <v>104</v>
      </c>
      <c r="B4" s="16" t="s">
        <v>115</v>
      </c>
      <c r="C4" s="16" t="s">
        <v>170</v>
      </c>
      <c r="D4" s="17" t="s">
        <v>160</v>
      </c>
      <c r="E4" s="178" t="s">
        <v>134</v>
      </c>
      <c r="F4" s="18" t="s">
        <v>199</v>
      </c>
      <c r="G4" s="174" t="str">
        <f ca="1">(INDEX(Burndown,ROW(G4)-ROW(G$3),MIN(TODAY()-SprintStart,29)*3+3))</f>
        <v>Complete</v>
      </c>
      <c r="H4" s="20">
        <v>1</v>
      </c>
      <c r="I4" s="21">
        <v>8</v>
      </c>
      <c r="J4" s="22">
        <v>8</v>
      </c>
      <c r="K4" s="22">
        <f t="shared" ref="K4" si="0">MAX(I4-J4, 0)</f>
        <v>0</v>
      </c>
      <c r="L4" s="23" t="str">
        <f>IF(SUMPRODUCT($J$64:K$64,$J4:K4)&lt;0.5, "Pending", IF(K4&lt;0.5, "Complete", "In Progress"))</f>
        <v>Complete</v>
      </c>
      <c r="M4" s="22">
        <v>0</v>
      </c>
      <c r="N4" s="22">
        <f t="shared" ref="N4" si="1">MAX(K4-M4,0)</f>
        <v>0</v>
      </c>
      <c r="O4" s="23" t="str">
        <f>IF(SUMPRODUCT($J$64:N$64,$J4:N4)&lt;0.5, "Pending", IF(N4&lt;0.5, "Complete", "In Progress"))</f>
        <v>Complete</v>
      </c>
      <c r="P4" s="22">
        <v>0</v>
      </c>
      <c r="Q4" s="22">
        <f t="shared" ref="Q4" si="2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3">MAX(Q4-S4,0)</f>
        <v>0</v>
      </c>
      <c r="U4" s="23" t="str">
        <f>IF(SUMPRODUCT($J$64:T$64,$J4:T4)&lt;0.5, "Pending", IF(T4&lt;0.5, "Complete", "In Progress"))</f>
        <v>Complete</v>
      </c>
      <c r="V4" s="22">
        <v>0</v>
      </c>
      <c r="W4" s="22">
        <f t="shared" ref="W4" si="4">MAX(T4-V4,0)</f>
        <v>0</v>
      </c>
      <c r="X4" s="23" t="str">
        <f>IF(SUMPRODUCT($J$64:W$64,$J4:W4)&lt;0.5, "Pending", IF(W4&lt;0.5, "Complete", "In Progress"))</f>
        <v>Complete</v>
      </c>
      <c r="Y4" s="22">
        <v>0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0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>
        <f t="shared" ref="AF4" si="7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8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9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0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1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2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3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8</v>
      </c>
    </row>
    <row r="5" spans="1:83" ht="15" x14ac:dyDescent="0.25">
      <c r="A5" s="16" t="s">
        <v>104</v>
      </c>
      <c r="B5" s="16" t="s">
        <v>115</v>
      </c>
      <c r="C5" s="16" t="s">
        <v>170</v>
      </c>
      <c r="D5" s="17" t="s">
        <v>161</v>
      </c>
      <c r="E5" s="178" t="s">
        <v>135</v>
      </c>
      <c r="F5" s="18" t="s">
        <v>199</v>
      </c>
      <c r="G5" s="174" t="str">
        <f ca="1">(INDEX(Burndown,ROW(G5)-ROW(G$3),MIN(TODAY()-SprintStart,29)*3+3))</f>
        <v>Complete</v>
      </c>
      <c r="H5" s="20">
        <v>1</v>
      </c>
      <c r="I5" s="21">
        <v>8</v>
      </c>
      <c r="J5" s="22">
        <v>0</v>
      </c>
      <c r="K5" s="22">
        <v>8</v>
      </c>
      <c r="L5" s="23" t="str">
        <f>IF(SUMPRODUCT($J$64:K$64,$J5:K5)&lt;0.5, "Pending", IF(K5&lt;0.5, "Complete", "In Progress"))</f>
        <v>Pending</v>
      </c>
      <c r="M5" s="22">
        <v>8</v>
      </c>
      <c r="N5" s="22">
        <f t="shared" ref="N5:N60" si="23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4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5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6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7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8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29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0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1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2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3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4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5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6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7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8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39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0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1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2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3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4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8</v>
      </c>
    </row>
    <row r="6" spans="1:83" ht="15" x14ac:dyDescent="0.25">
      <c r="A6" s="16" t="s">
        <v>104</v>
      </c>
      <c r="B6" s="16" t="s">
        <v>115</v>
      </c>
      <c r="C6" s="16" t="s">
        <v>170</v>
      </c>
      <c r="D6" s="17" t="s">
        <v>162</v>
      </c>
      <c r="E6" s="178" t="s">
        <v>136</v>
      </c>
      <c r="F6" s="18" t="s">
        <v>199</v>
      </c>
      <c r="G6" s="174" t="str">
        <f ca="1">(INDEX(Burndown,ROW(G6)-ROW(G$3),MIN(TODAY()-SprintStart,29)*3+3))</f>
        <v>Complete</v>
      </c>
      <c r="H6" s="20">
        <v>1</v>
      </c>
      <c r="I6" s="21">
        <v>12</v>
      </c>
      <c r="J6" s="22">
        <v>0</v>
      </c>
      <c r="K6" s="22"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v>4</v>
      </c>
      <c r="O6" s="23" t="str">
        <f>IF(SUMPRODUCT($J$64:N$64,$J6:N6)&lt;0.5, "Pending", IF(N6&lt;0.5, "Complete", "In Progress"))</f>
        <v>Pending</v>
      </c>
      <c r="P6" s="22">
        <v>8</v>
      </c>
      <c r="Q6" s="22">
        <f t="shared" si="24"/>
        <v>0</v>
      </c>
      <c r="R6" s="23" t="str">
        <f>IF(SUMPRODUCT($J$64:Q$64,$J6:Q6)&lt;0.5, "Pending", IF(Q6&lt;0.5, "Complete", "In Progress"))</f>
        <v>Complete</v>
      </c>
      <c r="S6" s="22">
        <v>4</v>
      </c>
      <c r="T6" s="22">
        <f t="shared" si="25"/>
        <v>0</v>
      </c>
      <c r="U6" s="23" t="str">
        <f>IF(SUMPRODUCT($J$64:T$64,$J6:T6)&lt;0.5, "Pending", IF(T6&lt;0.5, "Complete", "In Progress"))</f>
        <v>Complete</v>
      </c>
      <c r="V6" s="22">
        <v>0</v>
      </c>
      <c r="W6" s="22">
        <f t="shared" si="26"/>
        <v>0</v>
      </c>
      <c r="X6" s="23" t="str">
        <f>IF(SUMPRODUCT($J$64:W$64,$J6:W6)&lt;0.5, "Pending", IF(W6&lt;0.5, "Complete", "In Progress"))</f>
        <v>Complete</v>
      </c>
      <c r="Y6" s="22">
        <v>0</v>
      </c>
      <c r="Z6" s="22">
        <f t="shared" si="27"/>
        <v>0</v>
      </c>
      <c r="AA6" s="23" t="str">
        <f>IF(SUMPRODUCT($J$64:Z$64,$J6:Z6)&lt;0.5,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IF(SUMPRODUCT($J$64:AF$64,$J6:AF6)&lt;0.5,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IF(SUMPRODUCT($J$64:AI$64,$J6:AI6)&lt;0.5,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IF(SUMPRODUCT($J$64:AL$64,$J6:AL6)&lt;0.5,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IF(SUMPRODUCT($J$64:AO$64,$J6:AO6)&lt;0.5,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IF(SUMPRODUCT($J$64:AR$64,$J6:AR6)&lt;0.5,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IF(SUMPRODUCT($J$64:AU$64,$J6:AU6)&lt;0.5,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12</v>
      </c>
    </row>
    <row r="7" spans="1:83" ht="15.75" customHeight="1" x14ac:dyDescent="0.25">
      <c r="A7" s="16" t="s">
        <v>104</v>
      </c>
      <c r="B7" s="16" t="s">
        <v>118</v>
      </c>
      <c r="C7" s="16" t="s">
        <v>170</v>
      </c>
      <c r="D7" s="17" t="s">
        <v>163</v>
      </c>
      <c r="E7" s="178" t="s">
        <v>137</v>
      </c>
      <c r="F7" s="18" t="s">
        <v>199</v>
      </c>
      <c r="G7" s="174" t="str">
        <f ca="1">(INDEX(Burndown,ROW(G7)-ROW(G$3),MIN(TODAY()-SprintStart,29)*3+3))</f>
        <v>Complete</v>
      </c>
      <c r="H7" s="20">
        <v>1</v>
      </c>
      <c r="I7" s="21">
        <v>12</v>
      </c>
      <c r="J7" s="22">
        <v>0</v>
      </c>
      <c r="K7" s="22">
        <f t="shared" ref="K7:K60" si="45">MAX(I7-J7, 0)</f>
        <v>12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3"/>
        <v>12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4"/>
        <v>12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5"/>
        <v>12</v>
      </c>
      <c r="U7" s="23" t="str">
        <f>IF(SUMPRODUCT($J$64:T$64,$J7:T7)&lt;0.5, "Pending", IF(T7&lt;0.5, "Complete", "In Progress"))</f>
        <v>Pending</v>
      </c>
      <c r="V7" s="22">
        <v>8</v>
      </c>
      <c r="W7" s="22">
        <f t="shared" si="26"/>
        <v>4</v>
      </c>
      <c r="X7" s="23" t="str">
        <f>IF(SUMPRODUCT($J$64:W$64,$J7:W7)&lt;0.5, "Pending", IF(W7&lt;0.5, "Complete", "In Progress"))</f>
        <v>In Progress</v>
      </c>
      <c r="Y7" s="22">
        <v>4</v>
      </c>
      <c r="Z7" s="22">
        <f t="shared" si="27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IF(SUMPRODUCT($J$64:AF$64,$J7:AF7)&lt;0.5,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IF(SUMPRODUCT($J$64:AI$64,$J7:AI7)&lt;0.5,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IF(SUMPRODUCT($J$64:AL$64,$J7:AL7)&lt;0.5,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IF(SUMPRODUCT($J$64:AO$64,$J7:AO7)&lt;0.5,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IF(SUMPRODUCT($J$64:AR$64,$J7:AR7)&lt;0.5,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IF(SUMPRODUCT($J$64:AU$64,$J7:AU7)&lt;0.5,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12</v>
      </c>
    </row>
    <row r="8" spans="1:83" ht="15" x14ac:dyDescent="0.25">
      <c r="A8" s="16" t="s">
        <v>104</v>
      </c>
      <c r="B8" s="16" t="s">
        <v>115</v>
      </c>
      <c r="C8" s="16" t="s">
        <v>171</v>
      </c>
      <c r="D8" s="17" t="s">
        <v>164</v>
      </c>
      <c r="E8" s="178" t="s">
        <v>138</v>
      </c>
      <c r="F8" s="18" t="s">
        <v>199</v>
      </c>
      <c r="G8" s="174" t="str">
        <f ca="1">(INDEX(Burndown,ROW(G8)-ROW(G$3),MIN(TODAY()-SprintStart,29)*3+3))</f>
        <v>In Progress</v>
      </c>
      <c r="H8" s="20">
        <v>1</v>
      </c>
      <c r="I8" s="21">
        <v>32</v>
      </c>
      <c r="J8" s="22">
        <v>0</v>
      </c>
      <c r="K8" s="22">
        <f t="shared" si="45"/>
        <v>32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3"/>
        <v>32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4"/>
        <v>32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5"/>
        <v>32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6"/>
        <v>32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7"/>
        <v>32</v>
      </c>
      <c r="AA8" s="23" t="str">
        <f>IF(SUMPRODUCT($J$64:Z$64,$J8:Z8)&lt;0.5, "Pending", IF(Z8&lt;0.5, "Complete", "In Progress"))</f>
        <v>Pending</v>
      </c>
      <c r="AB8" s="22">
        <v>8</v>
      </c>
      <c r="AC8" s="22">
        <f t="shared" si="28"/>
        <v>24</v>
      </c>
      <c r="AD8" s="23" t="str">
        <f>IF(SUMPRODUCT($J$64:AC$64,$J8:AC8)&lt;0.5, "Pending", IF(AC8&lt;0.5, "Complete", "In Progress"))</f>
        <v>In Progress</v>
      </c>
      <c r="AE8" s="22">
        <v>8</v>
      </c>
      <c r="AF8" s="22">
        <f t="shared" si="29"/>
        <v>16</v>
      </c>
      <c r="AG8" s="23" t="str">
        <f>IF(SUMPRODUCT($J$64:AF$64,$J8:AF8)&lt;0.5, "Pending", IF(AF8&lt;0.5, "Complete", "In Progress"))</f>
        <v>In Progress</v>
      </c>
      <c r="AH8" s="22">
        <v>8</v>
      </c>
      <c r="AI8" s="22">
        <f t="shared" si="30"/>
        <v>8</v>
      </c>
      <c r="AJ8" s="23" t="str">
        <f>IF(SUMPRODUCT($J$64:AI$64,$J8:AI8)&lt;0.5, "Pending", IF(AI8&lt;0.5, "Complete", "In Progress"))</f>
        <v>In Progress</v>
      </c>
      <c r="AK8" s="22">
        <v>8</v>
      </c>
      <c r="AL8" s="22">
        <f t="shared" si="31"/>
        <v>0</v>
      </c>
      <c r="AM8" s="23" t="str">
        <f>IF(SUMPRODUCT($J$64:AL$64,$J8:AL8)&lt;0.5,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IF(SUMPRODUCT($J$64:AO$64,$J8:AO8)&lt;0.5,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IF(SUMPRODUCT($J$64:AR$64,$J8:AR8)&lt;0.5,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IF(SUMPRODUCT($J$64:AU$64,$J8:AU8)&lt;0.5,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IF(SUMPRODUCT($J$64:AX$64,$J8:AX8)&lt;0.5,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32</v>
      </c>
    </row>
    <row r="9" spans="1:83" ht="15" x14ac:dyDescent="0.25">
      <c r="A9" s="16" t="s">
        <v>104</v>
      </c>
      <c r="B9" s="16" t="s">
        <v>115</v>
      </c>
      <c r="C9" s="16" t="s">
        <v>171</v>
      </c>
      <c r="D9" s="17" t="s">
        <v>165</v>
      </c>
      <c r="E9" s="178" t="s">
        <v>139</v>
      </c>
      <c r="F9" s="18" t="s">
        <v>199</v>
      </c>
      <c r="G9" s="174" t="str">
        <f ca="1">(INDEX(Burndown,ROW(G9)-ROW(G$3),MIN(TODAY()-SprintStart,29)*3+3))</f>
        <v>Pending</v>
      </c>
      <c r="H9" s="20">
        <v>1</v>
      </c>
      <c r="I9" s="21">
        <v>20</v>
      </c>
      <c r="J9" s="22">
        <v>0</v>
      </c>
      <c r="K9" s="22">
        <f t="shared" si="45"/>
        <v>20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3"/>
        <v>20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4"/>
        <v>20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5"/>
        <v>20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6"/>
        <v>20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7"/>
        <v>20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8"/>
        <v>20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29"/>
        <v>20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0"/>
        <v>20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1"/>
        <v>20</v>
      </c>
      <c r="AM9" s="23" t="str">
        <f>IF(SUMPRODUCT($J$64:AL$64,$J9:AL9)&lt;0.5, "Pending", IF(AL9&lt;0.5, "Complete", "In Progress"))</f>
        <v>Pending</v>
      </c>
      <c r="AN9" s="22">
        <v>8</v>
      </c>
      <c r="AO9" s="22">
        <f t="shared" si="32"/>
        <v>12</v>
      </c>
      <c r="AP9" s="23" t="str">
        <f>IF(SUMPRODUCT($J$64:AO$64,$J9:AO9)&lt;0.5, "Pending", IF(AO9&lt;0.5, "Complete", "In Progress"))</f>
        <v>In Progress</v>
      </c>
      <c r="AQ9" s="22">
        <v>8</v>
      </c>
      <c r="AR9" s="22">
        <f t="shared" si="33"/>
        <v>4</v>
      </c>
      <c r="AS9" s="23" t="str">
        <f>IF(SUMPRODUCT($J$64:AR$64,$J9:AR9)&lt;0.5, "Pending", IF(AR9&lt;0.5, "Complete", "In Progress"))</f>
        <v>In Progress</v>
      </c>
      <c r="AT9" s="22">
        <v>4</v>
      </c>
      <c r="AU9" s="22">
        <f t="shared" si="34"/>
        <v>0</v>
      </c>
      <c r="AV9" s="23" t="str">
        <f>IF(SUMPRODUCT($J$64:AU$64,$J9:AU9)&lt;0.5,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IF(SUMPRODUCT($J$64:AX$64,$J9:AX9)&lt;0.5,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20</v>
      </c>
    </row>
    <row r="10" spans="1:83" ht="15" x14ac:dyDescent="0.25">
      <c r="A10" s="16" t="s">
        <v>104</v>
      </c>
      <c r="B10" s="16" t="s">
        <v>115</v>
      </c>
      <c r="C10" s="16" t="s">
        <v>171</v>
      </c>
      <c r="D10" s="17" t="s">
        <v>166</v>
      </c>
      <c r="E10" s="178" t="s">
        <v>140</v>
      </c>
      <c r="F10" s="18" t="s">
        <v>199</v>
      </c>
      <c r="G10" s="174" t="str">
        <f ca="1">(INDEX(Burndown,ROW(G10)-ROW(G$3),MIN(TODAY()-SprintStart,29)*3+3))</f>
        <v>Pending</v>
      </c>
      <c r="H10" s="20">
        <v>1</v>
      </c>
      <c r="I10" s="21">
        <v>2</v>
      </c>
      <c r="J10" s="22">
        <v>0</v>
      </c>
      <c r="K10" s="22">
        <f t="shared" si="45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3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4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5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6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7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8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29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0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1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2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3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4"/>
        <v>2</v>
      </c>
      <c r="AV10" s="23" t="str">
        <f>IF(SUMPRODUCT($J$64:AU$64,$J10:AU10)&lt;0.5, "Pending", IF(AU10&lt;0.5, "Complete", "In Progress"))</f>
        <v>Pending</v>
      </c>
      <c r="AW10" s="22">
        <v>2</v>
      </c>
      <c r="AX10" s="22">
        <f t="shared" si="35"/>
        <v>0</v>
      </c>
      <c r="AY10" s="23" t="str">
        <f>IF(SUMPRODUCT($J$64:AX$64,$J10:AX10)&lt;0.5,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2</v>
      </c>
    </row>
    <row r="11" spans="1:83" ht="15" x14ac:dyDescent="0.25">
      <c r="A11" s="16" t="s">
        <v>104</v>
      </c>
      <c r="B11" s="16" t="s">
        <v>115</v>
      </c>
      <c r="C11" s="16" t="s">
        <v>171</v>
      </c>
      <c r="D11" s="17" t="s">
        <v>167</v>
      </c>
      <c r="E11" s="178" t="s">
        <v>141</v>
      </c>
      <c r="F11" s="18" t="s">
        <v>199</v>
      </c>
      <c r="G11" s="174" t="str">
        <f ca="1">(INDEX(Burndown,ROW(G11)-ROW(G$3),MIN(TODAY()-SprintStart,29)*3+3))</f>
        <v>Pending</v>
      </c>
      <c r="H11" s="20">
        <v>1</v>
      </c>
      <c r="I11" s="21">
        <v>8</v>
      </c>
      <c r="J11" s="22">
        <v>0</v>
      </c>
      <c r="K11" s="22">
        <f t="shared" si="45"/>
        <v>8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3"/>
        <v>8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4"/>
        <v>8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5"/>
        <v>8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6"/>
        <v>8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7"/>
        <v>8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8"/>
        <v>8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29"/>
        <v>8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0"/>
        <v>8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1"/>
        <v>8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2"/>
        <v>8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3"/>
        <v>8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4"/>
        <v>8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5"/>
        <v>8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ht="15" x14ac:dyDescent="0.25">
      <c r="A12" s="16" t="s">
        <v>104</v>
      </c>
      <c r="B12" s="16" t="s">
        <v>115</v>
      </c>
      <c r="C12" s="16" t="s">
        <v>172</v>
      </c>
      <c r="D12" s="17" t="s">
        <v>168</v>
      </c>
      <c r="E12" s="178" t="s">
        <v>142</v>
      </c>
      <c r="F12" s="18" t="s">
        <v>199</v>
      </c>
      <c r="G12" s="174" t="str">
        <f ca="1">(INDEX(Burndown,ROW(G12)-ROW(G$3),MIN(TODAY()-SprintStart,29)*3+3))</f>
        <v>Pending</v>
      </c>
      <c r="H12" s="20">
        <v>1</v>
      </c>
      <c r="I12" s="21">
        <v>4</v>
      </c>
      <c r="J12" s="22">
        <v>0</v>
      </c>
      <c r="K12" s="22">
        <f t="shared" si="45"/>
        <v>4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3"/>
        <v>4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4"/>
        <v>4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5"/>
        <v>4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6"/>
        <v>4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7"/>
        <v>4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8"/>
        <v>4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29"/>
        <v>4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0"/>
        <v>4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1"/>
        <v>4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2"/>
        <v>4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3"/>
        <v>4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4"/>
        <v>4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5"/>
        <v>4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ht="15" x14ac:dyDescent="0.25">
      <c r="A13" s="16" t="s">
        <v>104</v>
      </c>
      <c r="B13" s="16" t="s">
        <v>115</v>
      </c>
      <c r="C13" s="16" t="s">
        <v>172</v>
      </c>
      <c r="D13" s="17" t="s">
        <v>169</v>
      </c>
      <c r="E13" s="178" t="s">
        <v>143</v>
      </c>
      <c r="F13" s="18" t="s">
        <v>199</v>
      </c>
      <c r="G13" s="174" t="str">
        <f ca="1">(INDEX(Burndown,ROW(G13)-ROW(G$3),MIN(TODAY()-SprintStart,29)*3+3))</f>
        <v>Pending</v>
      </c>
      <c r="H13" s="20">
        <v>1</v>
      </c>
      <c r="I13" s="21">
        <v>4</v>
      </c>
      <c r="J13" s="22">
        <v>0</v>
      </c>
      <c r="K13" s="22">
        <f t="shared" si="45"/>
        <v>4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3"/>
        <v>4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4"/>
        <v>4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5"/>
        <v>4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6"/>
        <v>4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7"/>
        <v>4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8"/>
        <v>4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29"/>
        <v>4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0"/>
        <v>4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1"/>
        <v>4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2"/>
        <v>4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3"/>
        <v>4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4"/>
        <v>4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5"/>
        <v>4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ht="15" x14ac:dyDescent="0.25">
      <c r="A14" s="16" t="s">
        <v>104</v>
      </c>
      <c r="B14" s="16" t="s">
        <v>115</v>
      </c>
      <c r="C14" s="16" t="s">
        <v>173</v>
      </c>
      <c r="D14" s="17" t="s">
        <v>174</v>
      </c>
      <c r="E14" s="178" t="s">
        <v>136</v>
      </c>
      <c r="F14" s="18" t="s">
        <v>199</v>
      </c>
      <c r="G14" s="174" t="str">
        <f ca="1">(INDEX(Burndown,ROW(G14)-ROW(G$3),MIN(TODAY()-SprintStart,29)*3+3))</f>
        <v>Pending</v>
      </c>
      <c r="H14" s="20">
        <v>1</v>
      </c>
      <c r="I14" s="21">
        <v>12</v>
      </c>
      <c r="J14" s="22">
        <v>0</v>
      </c>
      <c r="K14" s="22">
        <f t="shared" si="45"/>
        <v>12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3"/>
        <v>12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4"/>
        <v>12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5"/>
        <v>12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6"/>
        <v>12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7"/>
        <v>12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8"/>
        <v>12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29"/>
        <v>12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0"/>
        <v>12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1"/>
        <v>12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2"/>
        <v>12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3"/>
        <v>12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4"/>
        <v>12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5"/>
        <v>12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ht="15" x14ac:dyDescent="0.25">
      <c r="A15" s="16" t="s">
        <v>104</v>
      </c>
      <c r="B15" s="16" t="s">
        <v>115</v>
      </c>
      <c r="C15" s="16" t="s">
        <v>175</v>
      </c>
      <c r="D15" s="17" t="s">
        <v>176</v>
      </c>
      <c r="E15" s="178" t="s">
        <v>144</v>
      </c>
      <c r="F15" s="18" t="s">
        <v>199</v>
      </c>
      <c r="G15" s="174" t="str">
        <f ca="1">(INDEX(Burndown,ROW(G15)-ROW(G$3),MIN(TODAY()-SprintStart,29)*3+3))</f>
        <v>Pending</v>
      </c>
      <c r="H15" s="20">
        <v>1</v>
      </c>
      <c r="I15" s="21">
        <v>24</v>
      </c>
      <c r="J15" s="22">
        <v>0</v>
      </c>
      <c r="K15" s="22">
        <f t="shared" si="45"/>
        <v>24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3"/>
        <v>24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4"/>
        <v>24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5"/>
        <v>24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6"/>
        <v>24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7"/>
        <v>24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8"/>
        <v>24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29"/>
        <v>24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0"/>
        <v>24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1"/>
        <v>24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2"/>
        <v>24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3"/>
        <v>24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4"/>
        <v>24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5"/>
        <v>24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ht="15" x14ac:dyDescent="0.25">
      <c r="A16" s="16" t="s">
        <v>104</v>
      </c>
      <c r="B16" s="16" t="s">
        <v>115</v>
      </c>
      <c r="C16" s="16" t="s">
        <v>175</v>
      </c>
      <c r="D16" s="17" t="s">
        <v>177</v>
      </c>
      <c r="E16" s="178" t="s">
        <v>145</v>
      </c>
      <c r="F16" s="18" t="s">
        <v>199</v>
      </c>
      <c r="G16" s="174" t="str">
        <f ca="1">(INDEX(Burndown,ROW(G16)-ROW(G$3),MIN(TODAY()-SprintStart,29)*3+3))</f>
        <v>Pending</v>
      </c>
      <c r="H16" s="20">
        <v>1</v>
      </c>
      <c r="I16" s="21">
        <v>12</v>
      </c>
      <c r="J16" s="22">
        <v>0</v>
      </c>
      <c r="K16" s="22">
        <f t="shared" si="45"/>
        <v>12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3"/>
        <v>12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4"/>
        <v>12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5"/>
        <v>12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6"/>
        <v>12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7"/>
        <v>12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8"/>
        <v>12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29"/>
        <v>12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0"/>
        <v>12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1"/>
        <v>12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2"/>
        <v>12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3"/>
        <v>12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4"/>
        <v>12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5"/>
        <v>12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t="15" x14ac:dyDescent="0.25">
      <c r="A17" s="16" t="s">
        <v>104</v>
      </c>
      <c r="B17" s="16" t="s">
        <v>115</v>
      </c>
      <c r="C17" s="16" t="s">
        <v>178</v>
      </c>
      <c r="D17" s="17" t="s">
        <v>179</v>
      </c>
      <c r="E17" s="178" t="s">
        <v>146</v>
      </c>
      <c r="F17" s="18" t="s">
        <v>199</v>
      </c>
      <c r="G17" s="174" t="str">
        <f ca="1">(INDEX(Burndown,ROW(G17)-ROW(G$3),MIN(TODAY()-SprintStart,29)*3+3))</f>
        <v>Pending</v>
      </c>
      <c r="H17" s="20">
        <v>1</v>
      </c>
      <c r="I17" s="21">
        <v>12</v>
      </c>
      <c r="J17" s="22">
        <v>0</v>
      </c>
      <c r="K17" s="22">
        <f t="shared" si="45"/>
        <v>12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3"/>
        <v>12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4"/>
        <v>12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5"/>
        <v>12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6"/>
        <v>12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7"/>
        <v>12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8"/>
        <v>12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29"/>
        <v>12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0"/>
        <v>12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1"/>
        <v>12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2"/>
        <v>12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3"/>
        <v>12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4"/>
        <v>12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5"/>
        <v>12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ht="15" x14ac:dyDescent="0.25">
      <c r="A18" s="16" t="s">
        <v>104</v>
      </c>
      <c r="B18" s="16" t="s">
        <v>115</v>
      </c>
      <c r="C18" s="16" t="s">
        <v>178</v>
      </c>
      <c r="D18" s="17" t="s">
        <v>180</v>
      </c>
      <c r="E18" s="178" t="s">
        <v>147</v>
      </c>
      <c r="F18" s="18" t="s">
        <v>199</v>
      </c>
      <c r="G18" s="174" t="str">
        <f ca="1">(INDEX(Burndown,ROW(G18)-ROW(G$3),MIN(TODAY()-SprintStart,29)*3+3))</f>
        <v>Pending</v>
      </c>
      <c r="H18" s="20">
        <v>1</v>
      </c>
      <c r="I18" s="21">
        <v>20</v>
      </c>
      <c r="J18" s="22">
        <v>0</v>
      </c>
      <c r="K18" s="22">
        <f t="shared" si="45"/>
        <v>20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3"/>
        <v>20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4"/>
        <v>20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5"/>
        <v>20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6"/>
        <v>20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7"/>
        <v>20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8"/>
        <v>20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29"/>
        <v>20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0"/>
        <v>20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1"/>
        <v>20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2"/>
        <v>20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3"/>
        <v>20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4"/>
        <v>20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5"/>
        <v>20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ht="15" x14ac:dyDescent="0.25">
      <c r="A19" s="16" t="s">
        <v>104</v>
      </c>
      <c r="B19" s="16" t="s">
        <v>115</v>
      </c>
      <c r="C19" s="16" t="s">
        <v>181</v>
      </c>
      <c r="D19" s="17" t="s">
        <v>182</v>
      </c>
      <c r="E19" s="178" t="s">
        <v>203</v>
      </c>
      <c r="F19" s="18" t="s">
        <v>199</v>
      </c>
      <c r="G19" s="174" t="str">
        <f ca="1">(INDEX(Burndown,ROW(G19)-ROW(G$3),MIN(TODAY()-SprintStart,29)*3+3))</f>
        <v>Pending</v>
      </c>
      <c r="H19" s="20">
        <v>1</v>
      </c>
      <c r="I19" s="21">
        <v>20</v>
      </c>
      <c r="J19" s="22">
        <v>0</v>
      </c>
      <c r="K19" s="22">
        <f t="shared" si="45"/>
        <v>20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3"/>
        <v>20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4"/>
        <v>20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5"/>
        <v>20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6"/>
        <v>20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7"/>
        <v>20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8"/>
        <v>20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29"/>
        <v>20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0"/>
        <v>20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1"/>
        <v>20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2"/>
        <v>20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3"/>
        <v>20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4"/>
        <v>20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5"/>
        <v>20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ht="15" x14ac:dyDescent="0.25">
      <c r="A20" s="16" t="s">
        <v>104</v>
      </c>
      <c r="B20" s="16" t="s">
        <v>115</v>
      </c>
      <c r="C20" s="16" t="s">
        <v>181</v>
      </c>
      <c r="D20" s="17" t="s">
        <v>183</v>
      </c>
      <c r="E20" s="178" t="s">
        <v>148</v>
      </c>
      <c r="F20" s="18" t="s">
        <v>199</v>
      </c>
      <c r="G20" s="174" t="str">
        <f ca="1">(INDEX(Burndown,ROW(G20)-ROW(G$3),MIN(TODAY()-SprintStart,29)*3+3))</f>
        <v>Pending</v>
      </c>
      <c r="H20" s="20">
        <v>1</v>
      </c>
      <c r="I20" s="21">
        <v>24</v>
      </c>
      <c r="J20" s="22">
        <v>0</v>
      </c>
      <c r="K20" s="22">
        <f t="shared" si="45"/>
        <v>24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3"/>
        <v>24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4"/>
        <v>24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5"/>
        <v>24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6"/>
        <v>24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7"/>
        <v>24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8"/>
        <v>24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29"/>
        <v>24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0"/>
        <v>24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1"/>
        <v>24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2"/>
        <v>24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3"/>
        <v>24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4"/>
        <v>24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5"/>
        <v>24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ht="15" x14ac:dyDescent="0.25">
      <c r="A21" s="16" t="s">
        <v>104</v>
      </c>
      <c r="B21" s="16" t="s">
        <v>115</v>
      </c>
      <c r="C21" s="16" t="s">
        <v>181</v>
      </c>
      <c r="D21" s="17" t="s">
        <v>184</v>
      </c>
      <c r="E21" s="178" t="s">
        <v>149</v>
      </c>
      <c r="F21" s="18" t="s">
        <v>199</v>
      </c>
      <c r="G21" s="174" t="str">
        <f ca="1">(INDEX(Burndown,ROW(G21)-ROW(G$3),MIN(TODAY()-SprintStart,29)*3+3))</f>
        <v>Pending</v>
      </c>
      <c r="H21" s="20">
        <v>1</v>
      </c>
      <c r="I21" s="21">
        <v>8</v>
      </c>
      <c r="J21" s="22">
        <v>0</v>
      </c>
      <c r="K21" s="22">
        <f t="shared" si="45"/>
        <v>8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3"/>
        <v>8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4"/>
        <v>8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5"/>
        <v>8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6"/>
        <v>8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7"/>
        <v>8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8"/>
        <v>8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29"/>
        <v>8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0"/>
        <v>8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1"/>
        <v>8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2"/>
        <v>8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3"/>
        <v>8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4"/>
        <v>8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5"/>
        <v>8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ht="15" x14ac:dyDescent="0.25">
      <c r="A22" s="16" t="s">
        <v>104</v>
      </c>
      <c r="B22" s="16" t="s">
        <v>115</v>
      </c>
      <c r="C22" s="16" t="s">
        <v>185</v>
      </c>
      <c r="D22" s="17" t="s">
        <v>186</v>
      </c>
      <c r="E22" s="178" t="s">
        <v>150</v>
      </c>
      <c r="F22" s="18" t="s">
        <v>199</v>
      </c>
      <c r="G22" s="174" t="str">
        <f ca="1">(INDEX(Burndown,ROW(G22)-ROW(G$3),MIN(TODAY()-SprintStart,29)*3+3))</f>
        <v>Pending</v>
      </c>
      <c r="H22" s="20">
        <v>1</v>
      </c>
      <c r="I22" s="21">
        <v>12</v>
      </c>
      <c r="J22" s="22">
        <v>0</v>
      </c>
      <c r="K22" s="22">
        <f t="shared" si="45"/>
        <v>12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3"/>
        <v>12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4"/>
        <v>12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5"/>
        <v>12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6"/>
        <v>12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7"/>
        <v>12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8"/>
        <v>12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29"/>
        <v>12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0"/>
        <v>12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1"/>
        <v>12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2"/>
        <v>12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3"/>
        <v>12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4"/>
        <v>12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5"/>
        <v>12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ht="15" x14ac:dyDescent="0.25">
      <c r="A23" s="16" t="s">
        <v>104</v>
      </c>
      <c r="B23" s="16" t="s">
        <v>115</v>
      </c>
      <c r="C23" s="16" t="s">
        <v>185</v>
      </c>
      <c r="D23" s="17" t="s">
        <v>187</v>
      </c>
      <c r="E23" s="178" t="s">
        <v>151</v>
      </c>
      <c r="F23" s="18" t="s">
        <v>199</v>
      </c>
      <c r="G23" s="174" t="str">
        <f ca="1">(INDEX(Burndown,ROW(G23)-ROW(G$3),MIN(TODAY()-SprintStart,29)*3+3))</f>
        <v>Pending</v>
      </c>
      <c r="H23" s="20">
        <v>1</v>
      </c>
      <c r="I23" s="21">
        <v>8</v>
      </c>
      <c r="J23" s="22">
        <v>0</v>
      </c>
      <c r="K23" s="22">
        <f t="shared" si="45"/>
        <v>8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3"/>
        <v>8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4"/>
        <v>8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5"/>
        <v>8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6"/>
        <v>8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7"/>
        <v>8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8"/>
        <v>8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29"/>
        <v>8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0"/>
        <v>8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1"/>
        <v>8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2"/>
        <v>8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3"/>
        <v>8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4"/>
        <v>8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5"/>
        <v>8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ht="15" x14ac:dyDescent="0.25">
      <c r="A24" s="16" t="s">
        <v>104</v>
      </c>
      <c r="B24" s="16" t="s">
        <v>118</v>
      </c>
      <c r="C24" s="16" t="s">
        <v>185</v>
      </c>
      <c r="D24" s="17" t="s">
        <v>188</v>
      </c>
      <c r="E24" s="178" t="s">
        <v>152</v>
      </c>
      <c r="F24" s="18" t="s">
        <v>199</v>
      </c>
      <c r="G24" s="174" t="str">
        <f ca="1">(INDEX(Burndown,ROW(G24)-ROW(G$3),MIN(TODAY()-SprintStart,29)*3+3))</f>
        <v>Pending</v>
      </c>
      <c r="H24" s="20">
        <v>1</v>
      </c>
      <c r="I24" s="21">
        <v>28</v>
      </c>
      <c r="J24" s="22">
        <v>0</v>
      </c>
      <c r="K24" s="22">
        <f t="shared" si="45"/>
        <v>28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3"/>
        <v>28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4"/>
        <v>28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5"/>
        <v>28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6"/>
        <v>28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7"/>
        <v>28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8"/>
        <v>28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29"/>
        <v>28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0"/>
        <v>28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1"/>
        <v>28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2"/>
        <v>28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3"/>
        <v>28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4"/>
        <v>28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5"/>
        <v>28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6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7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8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39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0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1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2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3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4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ht="15" x14ac:dyDescent="0.25">
      <c r="A25" s="16" t="s">
        <v>104</v>
      </c>
      <c r="B25" s="16" t="s">
        <v>115</v>
      </c>
      <c r="C25" s="16" t="s">
        <v>189</v>
      </c>
      <c r="D25" s="17" t="s">
        <v>190</v>
      </c>
      <c r="E25" s="178" t="s">
        <v>153</v>
      </c>
      <c r="F25" s="18" t="s">
        <v>199</v>
      </c>
      <c r="G25" s="174" t="str">
        <f ca="1">(INDEX(Burndown,ROW(G25)-ROW(G$3),MIN(TODAY()-SprintStart,29)*3+3))</f>
        <v>Pending</v>
      </c>
      <c r="H25" s="20">
        <v>1</v>
      </c>
      <c r="I25" s="21">
        <v>20</v>
      </c>
      <c r="J25" s="22">
        <v>0</v>
      </c>
      <c r="K25" s="22">
        <f t="shared" si="45"/>
        <v>20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3"/>
        <v>20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4"/>
        <v>20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5"/>
        <v>20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6"/>
        <v>20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7"/>
        <v>20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8"/>
        <v>20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29"/>
        <v>20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0"/>
        <v>20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1"/>
        <v>20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2"/>
        <v>20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3"/>
        <v>20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4"/>
        <v>20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5"/>
        <v>20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ht="15" x14ac:dyDescent="0.25">
      <c r="A26" s="16" t="s">
        <v>104</v>
      </c>
      <c r="B26" s="16" t="s">
        <v>118</v>
      </c>
      <c r="C26" s="16" t="s">
        <v>189</v>
      </c>
      <c r="D26" s="17" t="s">
        <v>191</v>
      </c>
      <c r="E26" s="178" t="s">
        <v>154</v>
      </c>
      <c r="F26" s="18" t="s">
        <v>199</v>
      </c>
      <c r="G26" s="174" t="str">
        <f ca="1">(INDEX(Burndown,ROW(G26)-ROW(G$3),MIN(TODAY()-SprintStart,29)*3+3))</f>
        <v>Pending</v>
      </c>
      <c r="H26" s="20">
        <v>1</v>
      </c>
      <c r="I26" s="21">
        <v>16</v>
      </c>
      <c r="J26" s="22">
        <v>0</v>
      </c>
      <c r="K26" s="22">
        <f t="shared" si="45"/>
        <v>16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3"/>
        <v>16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4"/>
        <v>16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5"/>
        <v>16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6"/>
        <v>16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7"/>
        <v>16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8"/>
        <v>16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29"/>
        <v>16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0"/>
        <v>16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1"/>
        <v>16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2"/>
        <v>16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3"/>
        <v>16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4"/>
        <v>16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5"/>
        <v>16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6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7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8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39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0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1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2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3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4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ht="15" x14ac:dyDescent="0.25">
      <c r="A27" s="16" t="s">
        <v>104</v>
      </c>
      <c r="B27" s="16" t="s">
        <v>118</v>
      </c>
      <c r="C27" s="16" t="s">
        <v>189</v>
      </c>
      <c r="D27" s="17" t="s">
        <v>192</v>
      </c>
      <c r="E27" s="178" t="s">
        <v>155</v>
      </c>
      <c r="F27" s="18" t="s">
        <v>199</v>
      </c>
      <c r="G27" s="174" t="str">
        <f ca="1">(INDEX(Burndown,ROW(G27)-ROW(G$3),MIN(TODAY()-SprintStart,29)*3+3))</f>
        <v>Pending</v>
      </c>
      <c r="H27" s="20">
        <v>1</v>
      </c>
      <c r="I27" s="21">
        <v>16</v>
      </c>
      <c r="J27" s="22">
        <v>0</v>
      </c>
      <c r="K27" s="22">
        <f t="shared" si="45"/>
        <v>16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3"/>
        <v>16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4"/>
        <v>16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5"/>
        <v>16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6"/>
        <v>16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7"/>
        <v>16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8"/>
        <v>16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29"/>
        <v>16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0"/>
        <v>16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1"/>
        <v>16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2"/>
        <v>16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3"/>
        <v>16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4"/>
        <v>16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5"/>
        <v>16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6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7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8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39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0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1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2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3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4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ht="15" x14ac:dyDescent="0.25">
      <c r="A28" s="16" t="s">
        <v>104</v>
      </c>
      <c r="B28" s="16" t="s">
        <v>115</v>
      </c>
      <c r="C28" s="16" t="s">
        <v>193</v>
      </c>
      <c r="D28" s="17" t="s">
        <v>194</v>
      </c>
      <c r="E28" s="178" t="s">
        <v>156</v>
      </c>
      <c r="F28" s="18" t="s">
        <v>199</v>
      </c>
      <c r="G28" s="174" t="str">
        <f ca="1">(INDEX(Burndown,ROW(G28)-ROW(G$3),MIN(TODAY()-SprintStart,29)*3+3))</f>
        <v>Pending</v>
      </c>
      <c r="H28" s="20">
        <v>1</v>
      </c>
      <c r="I28" s="21">
        <v>36</v>
      </c>
      <c r="J28" s="22">
        <v>0</v>
      </c>
      <c r="K28" s="22">
        <f t="shared" si="45"/>
        <v>36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3"/>
        <v>36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4"/>
        <v>36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5"/>
        <v>36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6"/>
        <v>36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7"/>
        <v>36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8"/>
        <v>36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29"/>
        <v>36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0"/>
        <v>36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1"/>
        <v>36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2"/>
        <v>36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3"/>
        <v>36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4"/>
        <v>36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5"/>
        <v>36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6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7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8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39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0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1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2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3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4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ht="15" x14ac:dyDescent="0.25">
      <c r="A29" s="16" t="s">
        <v>104</v>
      </c>
      <c r="B29" s="16" t="s">
        <v>115</v>
      </c>
      <c r="C29" s="16" t="s">
        <v>193</v>
      </c>
      <c r="D29" s="17" t="s">
        <v>195</v>
      </c>
      <c r="E29" s="178" t="s">
        <v>157</v>
      </c>
      <c r="F29" s="18" t="s">
        <v>199</v>
      </c>
      <c r="G29" s="174" t="str">
        <f ca="1">(INDEX(Burndown,ROW(G29)-ROW(G$3),MIN(TODAY()-SprintStart,29)*3+3))</f>
        <v>Pending</v>
      </c>
      <c r="H29" s="20">
        <v>1</v>
      </c>
      <c r="I29" s="21">
        <v>36</v>
      </c>
      <c r="J29" s="22">
        <v>0</v>
      </c>
      <c r="K29" s="22">
        <f t="shared" si="45"/>
        <v>36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3"/>
        <v>36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4"/>
        <v>36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5"/>
        <v>36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6"/>
        <v>36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7"/>
        <v>36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8"/>
        <v>36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29"/>
        <v>36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0"/>
        <v>36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1"/>
        <v>36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2"/>
        <v>36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3"/>
        <v>36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4"/>
        <v>36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5"/>
        <v>36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6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7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8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39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0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1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2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3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4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ht="15" x14ac:dyDescent="0.25">
      <c r="A30" s="16" t="s">
        <v>104</v>
      </c>
      <c r="B30" s="16" t="s">
        <v>123</v>
      </c>
      <c r="C30" s="16" t="s">
        <v>196</v>
      </c>
      <c r="D30" s="17" t="s">
        <v>197</v>
      </c>
      <c r="E30" s="178" t="s">
        <v>158</v>
      </c>
      <c r="F30" s="18" t="s">
        <v>202</v>
      </c>
      <c r="G30" s="174" t="str">
        <f ca="1">(INDEX(Burndown,ROW(G30)-ROW(G$3),MIN(TODAY()-SprintStart,29)*3+3))</f>
        <v>Pending</v>
      </c>
      <c r="H30" s="20">
        <v>1</v>
      </c>
      <c r="I30" s="21">
        <v>120</v>
      </c>
      <c r="J30" s="22">
        <v>0</v>
      </c>
      <c r="K30" s="22">
        <f t="shared" si="45"/>
        <v>120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3"/>
        <v>120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4"/>
        <v>120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5"/>
        <v>120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6"/>
        <v>120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7"/>
        <v>120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8"/>
        <v>120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29"/>
        <v>120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0"/>
        <v>120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1"/>
        <v>120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2"/>
        <v>120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3"/>
        <v>120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4"/>
        <v>120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5"/>
        <v>120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6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7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8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39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0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1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2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3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4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ht="15" x14ac:dyDescent="0.25">
      <c r="A31" s="16" t="s">
        <v>104</v>
      </c>
      <c r="B31" s="16" t="s">
        <v>115</v>
      </c>
      <c r="C31" s="16" t="s">
        <v>196</v>
      </c>
      <c r="D31" s="17" t="s">
        <v>198</v>
      </c>
      <c r="E31" s="178" t="s">
        <v>159</v>
      </c>
      <c r="F31" s="18" t="s">
        <v>199</v>
      </c>
      <c r="G31" s="174" t="str">
        <f ca="1">(INDEX(Burndown,ROW(G31)-ROW(G$3),MIN(TODAY()-SprintStart,29)*3+3))</f>
        <v>Pending</v>
      </c>
      <c r="H31" s="20">
        <v>1</v>
      </c>
      <c r="I31" s="21">
        <v>96</v>
      </c>
      <c r="J31" s="22">
        <v>0</v>
      </c>
      <c r="K31" s="22">
        <f t="shared" si="45"/>
        <v>96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3"/>
        <v>96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4"/>
        <v>96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5"/>
        <v>96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6"/>
        <v>96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7"/>
        <v>96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8"/>
        <v>96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29"/>
        <v>96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0"/>
        <v>96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1"/>
        <v>96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2"/>
        <v>96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3"/>
        <v>96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4"/>
        <v>96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5"/>
        <v>96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6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7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8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39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0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1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2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3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4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ref="G32:G61" ca="1" si="46">(INDEX(Burndown,ROW(G32)-ROW(G$3),MIN(TODAY()-SprintStart,29)*3+3))</f>
        <v>Pending</v>
      </c>
      <c r="H32" s="20">
        <v>1</v>
      </c>
      <c r="I32" s="21">
        <v>0</v>
      </c>
      <c r="J32" s="22">
        <v>0</v>
      </c>
      <c r="K32" s="22">
        <f t="shared" si="45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3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4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5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6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7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8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29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0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1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2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3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4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5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6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7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8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39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0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1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2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3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4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45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3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4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5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6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7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8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29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0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1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2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3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4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5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6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7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8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39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0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1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2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3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4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45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3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4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5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6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7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8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29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0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1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2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3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4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5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6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7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8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39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0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1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2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3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4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45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3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4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5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6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7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8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29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0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1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2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3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4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5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6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7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8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39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0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1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2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3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4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45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3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4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5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6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7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8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29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0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1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2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3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4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5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6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7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8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39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0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1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2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3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4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45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3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4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5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6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7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8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29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0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1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2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3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4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5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6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7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8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39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0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1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2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3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4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45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3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4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5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6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7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8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29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0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1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2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3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4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5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6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7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8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39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0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1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2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3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4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45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3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4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5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6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7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8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29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0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1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2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3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4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5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6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7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8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39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0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1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2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3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4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45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3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4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5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6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7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8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29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0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1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2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3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4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5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6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7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8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39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0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1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2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3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4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45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3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4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5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6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7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8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29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0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1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2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3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4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5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6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7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8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39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0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1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2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3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4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45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3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4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5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6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7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8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29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0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1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2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3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4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5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6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7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8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39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0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1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2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3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4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45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3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4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5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6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7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8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29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0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1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2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3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4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5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6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7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8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39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0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1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2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3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4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45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3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4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5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6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7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8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29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0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1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2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3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4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5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6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7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8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39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0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1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2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3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4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45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3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4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5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6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7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8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29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0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1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2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3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4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5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6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7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8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39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0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1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2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3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4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45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3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4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5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6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7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8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29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0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1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2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3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4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5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6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7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8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39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0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1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2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3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4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45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3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4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5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6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7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8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29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0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1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2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3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4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5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6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7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8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39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0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1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2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3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4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45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3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4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5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6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7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8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29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0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1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2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3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4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5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6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7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8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39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0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1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2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3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4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45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3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4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5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6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7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8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29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0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1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2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3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4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5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6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7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8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39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0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1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2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3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4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45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3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4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5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6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7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8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29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0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1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2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3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4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5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6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7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8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39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0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1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2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3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4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45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3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4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5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6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7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8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29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0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1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2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3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4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5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6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7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8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39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0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1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2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3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4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45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3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4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5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6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7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8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29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0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1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2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3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4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5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6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7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8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39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0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1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2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3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4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45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3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4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5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6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7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8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29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0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1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2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3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4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5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6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7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8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39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0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1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2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3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4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45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3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4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5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6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7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8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29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0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1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2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3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4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5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6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7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8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39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0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1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2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3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4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45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3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4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5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6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7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8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29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0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1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2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3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4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5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6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7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8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39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0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1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2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3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4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45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3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4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5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6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7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8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29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0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1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2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3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4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5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6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7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8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39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0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1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2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3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4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45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3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4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5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6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7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8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29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0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1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2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3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4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5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6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7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8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39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0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1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2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3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4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45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3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4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5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6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7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8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29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0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1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2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3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4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5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6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7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8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39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0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1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2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3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4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45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3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4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5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6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7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8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29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0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1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2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3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4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5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6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7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8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39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0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1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2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3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4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45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3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4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5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6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7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8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29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0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1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2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3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4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5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6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7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8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39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0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1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2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3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4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8" t="s">
        <v>9</v>
      </c>
      <c r="N63" s="190"/>
      <c r="O63" s="30">
        <f>L63+1</f>
        <v>2</v>
      </c>
      <c r="P63" s="188" t="s">
        <v>9</v>
      </c>
      <c r="Q63" s="190"/>
      <c r="R63" s="30">
        <f>O63+1</f>
        <v>3</v>
      </c>
      <c r="S63" s="188" t="s">
        <v>9</v>
      </c>
      <c r="T63" s="190"/>
      <c r="U63" s="30">
        <f>R63+1</f>
        <v>4</v>
      </c>
      <c r="V63" s="188" t="s">
        <v>9</v>
      </c>
      <c r="W63" s="190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0"/>
      <c r="BB63" s="30" t="e">
        <f>#REF!+1</f>
        <v>#REF!</v>
      </c>
      <c r="BC63" s="188" t="s">
        <v>9</v>
      </c>
      <c r="BD63" s="190"/>
      <c r="BE63" s="30" t="e">
        <f>BB63+1</f>
        <v>#REF!</v>
      </c>
      <c r="BF63" s="188" t="s">
        <v>9</v>
      </c>
      <c r="BG63" s="190"/>
      <c r="BH63" s="30" t="e">
        <f>BE63+1</f>
        <v>#REF!</v>
      </c>
      <c r="BI63" s="188" t="s">
        <v>9</v>
      </c>
      <c r="BJ63" s="190"/>
      <c r="BK63" s="30" t="e">
        <f>BH63+1</f>
        <v>#REF!</v>
      </c>
      <c r="BL63" s="188" t="s">
        <v>9</v>
      </c>
      <c r="BM63" s="190"/>
      <c r="BN63" s="30" t="e">
        <f>BK63+1</f>
        <v>#REF!</v>
      </c>
      <c r="BO63" s="188" t="s">
        <v>9</v>
      </c>
      <c r="BP63" s="190"/>
      <c r="BQ63" s="30" t="e">
        <f>BN63+1</f>
        <v>#REF!</v>
      </c>
      <c r="BR63" s="188" t="s">
        <v>9</v>
      </c>
      <c r="BS63" s="190"/>
      <c r="BT63" s="30" t="e">
        <f>BQ63+1</f>
        <v>#REF!</v>
      </c>
      <c r="BU63" s="188" t="s">
        <v>9</v>
      </c>
      <c r="BV63" s="190"/>
      <c r="BW63" s="30" t="e">
        <f>BT63+1</f>
        <v>#REF!</v>
      </c>
      <c r="BX63" s="188" t="s">
        <v>9</v>
      </c>
      <c r="BY63" s="190"/>
      <c r="BZ63" s="30" t="e">
        <f>BW63+1</f>
        <v>#REF!</v>
      </c>
      <c r="CA63" s="188" t="s">
        <v>9</v>
      </c>
      <c r="CB63" s="190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89</v>
      </c>
      <c r="E67" s="38" t="s">
        <v>85</v>
      </c>
      <c r="F67" s="38"/>
      <c r="G67" s="38"/>
      <c r="H67" s="38"/>
      <c r="I67" s="39">
        <f>SUBTOTAL(109,I$4:I$62)</f>
        <v>630</v>
      </c>
      <c r="J67" s="156">
        <f>SUBTOTAL(109,J$4:J$62)</f>
        <v>8</v>
      </c>
      <c r="K67" s="156">
        <f>SUBTOTAL(109,K$4:K$61)</f>
        <v>618</v>
      </c>
      <c r="L67" s="39"/>
      <c r="M67" s="39">
        <f>SUBTOTAL(109,M$4:M$62)</f>
        <v>8</v>
      </c>
      <c r="N67" s="39">
        <f>SUBTOTAL(109,N$4:N$61)</f>
        <v>606</v>
      </c>
      <c r="O67" s="39"/>
      <c r="P67" s="39">
        <f>SUBTOTAL(109,P$4:P$62)</f>
        <v>8</v>
      </c>
      <c r="Q67" s="39">
        <f>SUBTOTAL(109,Q$4:Q$61)</f>
        <v>602</v>
      </c>
      <c r="R67" s="39"/>
      <c r="S67" s="39">
        <f>SUBTOTAL(109,S$4:S$62)</f>
        <v>4</v>
      </c>
      <c r="T67" s="39">
        <f>SUBTOTAL(109,T$4:T$61)</f>
        <v>602</v>
      </c>
      <c r="U67" s="39"/>
      <c r="V67" s="39">
        <f>SUBTOTAL(109,V$4:V$62)</f>
        <v>8</v>
      </c>
      <c r="W67" s="39">
        <f>SUBTOTAL(109,W$4:W$61)</f>
        <v>594</v>
      </c>
      <c r="X67" s="39"/>
      <c r="Y67" s="39">
        <f>SUBTOTAL(109,Y$4:Y$62)</f>
        <v>4</v>
      </c>
      <c r="Z67" s="39">
        <f>SUBTOTAL(109,Z$4:Z$61)</f>
        <v>590</v>
      </c>
      <c r="AA67" s="39"/>
      <c r="AB67" s="39">
        <f>SUBTOTAL(109,AB$4:AB$62)</f>
        <v>8</v>
      </c>
      <c r="AC67" s="39">
        <f>SUBTOTAL(109,AC$4:AC$61)</f>
        <v>582</v>
      </c>
      <c r="AD67" s="39"/>
      <c r="AE67" s="39">
        <f>SUBTOTAL(109,AE$4:AE$62)</f>
        <v>8</v>
      </c>
      <c r="AF67" s="39">
        <f>SUBTOTAL(109,AF$4:AF$61)</f>
        <v>574</v>
      </c>
      <c r="AG67" s="39"/>
      <c r="AH67" s="39">
        <f>SUBTOTAL(109,AH$4:AH$62)</f>
        <v>8</v>
      </c>
      <c r="AI67" s="39">
        <f>SUBTOTAL(109,AI$4:AI$61)</f>
        <v>566</v>
      </c>
      <c r="AJ67" s="39"/>
      <c r="AK67" s="39">
        <f>SUBTOTAL(109,AK$4:AK$62)</f>
        <v>8</v>
      </c>
      <c r="AL67" s="39">
        <f>SUBTOTAL(109,AL$4:AL$61)</f>
        <v>558</v>
      </c>
      <c r="AM67" s="39"/>
      <c r="AN67" s="39">
        <f>SUBTOTAL(109,AN$4:AN$62)</f>
        <v>8</v>
      </c>
      <c r="AO67" s="39">
        <f>SUBTOTAL(109,AO$4:AO$61)</f>
        <v>550</v>
      </c>
      <c r="AP67" s="39"/>
      <c r="AQ67" s="39">
        <f>SUBTOTAL(109,AQ$4:AQ$62)</f>
        <v>8</v>
      </c>
      <c r="AR67" s="39">
        <f>SUBTOTAL(109,AR$4:AR$61)</f>
        <v>542</v>
      </c>
      <c r="AS67" s="39"/>
      <c r="AT67" s="39">
        <f>SUBTOTAL(109,AT$4:AT$62)</f>
        <v>4</v>
      </c>
      <c r="AU67" s="39">
        <f>SUBTOTAL(109,AU$4:AU$61)</f>
        <v>538</v>
      </c>
      <c r="AV67" s="39"/>
      <c r="AW67" s="39">
        <f>SUBTOTAL(109,AW$4:AW$62)</f>
        <v>2</v>
      </c>
      <c r="AX67" s="39">
        <f>SUBTOTAL(109,AX$4:AX$61)</f>
        <v>536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 xr:uid="{00000000-0009-0000-0000-000000000000}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 xr:uid="{00000000-0002-0000-0000-000000000000}">
      <formula1>Members</formula1>
    </dataValidation>
    <dataValidation type="list" allowBlank="1" showInputMessage="1" showErrorMessage="1" sqref="A4:A61" xr:uid="{00000000-0002-0000-0000-000001000000}">
      <formula1>Worktype</formula1>
    </dataValidation>
    <dataValidation type="list" allowBlank="1" showInputMessage="1" showErrorMessage="1" sqref="B4:B61" xr:uid="{00000000-0002-0000-0000-000002000000}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H51"/>
  <sheetViews>
    <sheetView workbookViewId="0">
      <selection activeCell="G23" sqref="G2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44718</v>
      </c>
      <c r="F20" s="164">
        <f t="shared" si="0"/>
        <v>44719</v>
      </c>
      <c r="G20" s="164">
        <f t="shared" si="0"/>
        <v>44720</v>
      </c>
      <c r="H20" s="164">
        <f t="shared" si="0"/>
        <v>44721</v>
      </c>
      <c r="I20" s="164">
        <f t="shared" si="0"/>
        <v>44722</v>
      </c>
      <c r="J20" s="164">
        <f t="shared" si="0"/>
        <v>44723</v>
      </c>
      <c r="K20" s="164">
        <f t="shared" si="0"/>
        <v>44724</v>
      </c>
      <c r="L20" s="164">
        <f t="shared" si="0"/>
        <v>44725</v>
      </c>
      <c r="M20" s="164">
        <f t="shared" si="0"/>
        <v>44726</v>
      </c>
      <c r="N20" s="164">
        <f t="shared" si="0"/>
        <v>44727</v>
      </c>
      <c r="O20" s="164">
        <f t="shared" si="0"/>
        <v>44728</v>
      </c>
      <c r="P20" s="164">
        <f t="shared" si="0"/>
        <v>44729</v>
      </c>
      <c r="Q20" s="164">
        <f t="shared" si="0"/>
        <v>44730</v>
      </c>
      <c r="R20" s="164">
        <f t="shared" si="0"/>
        <v>44731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618</v>
      </c>
      <c r="F22" s="162">
        <f t="shared" ca="1" si="1"/>
        <v>606</v>
      </c>
      <c r="G22" s="162">
        <f t="shared" ca="1" si="1"/>
        <v>602</v>
      </c>
      <c r="H22" s="162">
        <f t="shared" ca="1" si="1"/>
        <v>602</v>
      </c>
      <c r="I22" s="162">
        <f t="shared" ca="1" si="1"/>
        <v>594</v>
      </c>
      <c r="J22" s="162">
        <f t="shared" ca="1" si="1"/>
        <v>590</v>
      </c>
      <c r="K22" s="162">
        <f t="shared" ca="1" si="1"/>
        <v>582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8</v>
      </c>
      <c r="F23" s="163">
        <f t="shared" ca="1" si="2"/>
        <v>8</v>
      </c>
      <c r="G23" s="163">
        <f t="shared" ca="1" si="2"/>
        <v>8</v>
      </c>
      <c r="H23" s="163">
        <f t="shared" ca="1" si="2"/>
        <v>4</v>
      </c>
      <c r="I23" s="163">
        <f t="shared" ca="1" si="2"/>
        <v>8</v>
      </c>
      <c r="J23" s="163">
        <f t="shared" ca="1" si="2"/>
        <v>4</v>
      </c>
      <c r="K23" s="163">
        <f t="shared" ca="1" si="2"/>
        <v>8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8</v>
      </c>
      <c r="F24" s="163">
        <f ca="1">IF(F20&gt;TODAY(), #N/A, SUM($E23:F23))</f>
        <v>16</v>
      </c>
      <c r="G24" s="163">
        <f ca="1">IF(G20&gt;TODAY(), #N/A, SUM($E23:G23))</f>
        <v>24</v>
      </c>
      <c r="H24" s="163">
        <f ca="1">IF(H20&gt;TODAY(), #N/A, SUM($E23:H23))</f>
        <v>28</v>
      </c>
      <c r="I24" s="163">
        <f ca="1">IF(I20&gt;TODAY(), #N/A, SUM($E23:I23))</f>
        <v>36</v>
      </c>
      <c r="J24" s="163">
        <f ca="1">IF(J20&gt;TODAY(), #N/A, SUM($E23:J23))</f>
        <v>40</v>
      </c>
      <c r="K24" s="163">
        <f ca="1">IF(K20&gt;TODAY(), #N/A, SUM($E23:K23))</f>
        <v>48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626</v>
      </c>
      <c r="F25" s="163">
        <f t="shared" ca="1" si="3"/>
        <v>622</v>
      </c>
      <c r="G25" s="163">
        <f t="shared" ca="1" si="3"/>
        <v>626</v>
      </c>
      <c r="H25" s="163">
        <f t="shared" ca="1" si="3"/>
        <v>630</v>
      </c>
      <c r="I25" s="163">
        <f t="shared" ca="1" si="3"/>
        <v>630</v>
      </c>
      <c r="J25" s="163">
        <f t="shared" ca="1" si="3"/>
        <v>630</v>
      </c>
      <c r="K25" s="163">
        <f t="shared" ca="1" si="3"/>
        <v>630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8</v>
      </c>
      <c r="F27" s="168">
        <f t="shared" ca="1" si="4"/>
        <v>8</v>
      </c>
      <c r="G27" s="168">
        <f t="shared" ca="1" si="4"/>
        <v>8</v>
      </c>
      <c r="H27" s="168">
        <f t="shared" ca="1" si="4"/>
        <v>7</v>
      </c>
      <c r="I27" s="168">
        <f t="shared" ca="1" si="4"/>
        <v>7.2</v>
      </c>
      <c r="J27" s="168">
        <f t="shared" ca="1" si="4"/>
        <v>6.666666666666667</v>
      </c>
      <c r="K27" s="168">
        <f t="shared" ca="1" si="4"/>
        <v>6.8571428571428568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44795.25</v>
      </c>
      <c r="F28" s="169">
        <f t="shared" ca="1" si="5"/>
        <v>44794.75</v>
      </c>
      <c r="G28" s="169">
        <f t="shared" ca="1" si="5"/>
        <v>44795.25</v>
      </c>
      <c r="H28" s="169">
        <f t="shared" ca="1" si="5"/>
        <v>44807</v>
      </c>
      <c r="I28" s="169">
        <f t="shared" ca="1" si="5"/>
        <v>44804.5</v>
      </c>
      <c r="J28" s="169">
        <f t="shared" ca="1" si="5"/>
        <v>44811.5</v>
      </c>
      <c r="K28" s="169">
        <f t="shared" ca="1" si="5"/>
        <v>44808.875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44795.25</v>
      </c>
      <c r="F29" s="169">
        <f t="shared" ca="1" si="6"/>
        <v>44794.75</v>
      </c>
      <c r="G29" s="169">
        <f t="shared" ca="1" si="6"/>
        <v>44784.071428571428</v>
      </c>
      <c r="H29" s="169">
        <f t="shared" ca="1" si="6"/>
        <v>44807</v>
      </c>
      <c r="I29" s="169">
        <f t="shared" ca="1" si="6"/>
        <v>44829.5</v>
      </c>
      <c r="J29" s="169">
        <f t="shared" ca="1" si="6"/>
        <v>44811.5</v>
      </c>
      <c r="K29" s="169">
        <f t="shared" ca="1" si="6"/>
        <v>44827.25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618</v>
      </c>
      <c r="F31" s="165">
        <f t="shared" ca="1" si="7"/>
        <v>606</v>
      </c>
      <c r="G31" s="165">
        <f t="shared" ca="1" si="7"/>
        <v>602</v>
      </c>
      <c r="H31" s="165">
        <f t="shared" ca="1" si="7"/>
        <v>602</v>
      </c>
      <c r="I31" s="165">
        <f t="shared" ca="1" si="7"/>
        <v>590</v>
      </c>
      <c r="J31" s="165">
        <f t="shared" ca="1" si="7"/>
        <v>590</v>
      </c>
      <c r="K31" s="165">
        <f t="shared" ca="1" si="7"/>
        <v>558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-4</v>
      </c>
      <c r="H32" s="170">
        <f t="shared" ca="1" si="8"/>
        <v>0</v>
      </c>
      <c r="I32" s="170">
        <f t="shared" ca="1" si="8"/>
        <v>12</v>
      </c>
      <c r="J32" s="170">
        <f t="shared" ca="1" si="8"/>
        <v>0</v>
      </c>
      <c r="K32" s="170">
        <f t="shared" ca="1" si="8"/>
        <v>32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8</v>
      </c>
      <c r="F33" s="165">
        <f t="shared" ca="1" si="9"/>
        <v>16</v>
      </c>
      <c r="G33" s="165">
        <f t="shared" ca="1" si="9"/>
        <v>28</v>
      </c>
      <c r="H33" s="165">
        <f t="shared" ca="1" si="9"/>
        <v>28</v>
      </c>
      <c r="I33" s="165">
        <f t="shared" ca="1" si="9"/>
        <v>28</v>
      </c>
      <c r="J33" s="165">
        <f t="shared" ca="1" si="9"/>
        <v>40</v>
      </c>
      <c r="K33" s="165">
        <f t="shared" ca="1" si="9"/>
        <v>40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57</v>
      </c>
      <c r="F35" s="165">
        <f t="shared" ca="1" si="10"/>
        <v>56</v>
      </c>
      <c r="G35" s="165">
        <f t="shared" ca="1" si="10"/>
        <v>55</v>
      </c>
      <c r="H35" s="165">
        <f t="shared" ca="1" si="10"/>
        <v>55</v>
      </c>
      <c r="I35" s="165">
        <f t="shared" ca="1" si="10"/>
        <v>54</v>
      </c>
      <c r="J35" s="165">
        <f t="shared" ca="1" si="10"/>
        <v>54</v>
      </c>
      <c r="K35" s="165">
        <f t="shared" ca="1" si="10"/>
        <v>53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>
        <f t="shared" ca="1" si="11"/>
        <v>0</v>
      </c>
      <c r="I36" s="165">
        <f t="shared" ca="1" si="11"/>
        <v>1</v>
      </c>
      <c r="J36" s="165">
        <f t="shared" ca="1" si="11"/>
        <v>0</v>
      </c>
      <c r="K36" s="165">
        <f t="shared" ca="1" si="11"/>
        <v>1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2</v>
      </c>
      <c r="G37" s="165">
        <f t="shared" ca="1" si="12"/>
        <v>3</v>
      </c>
      <c r="H37" s="165">
        <f t="shared" ca="1" si="12"/>
        <v>3</v>
      </c>
      <c r="I37" s="165">
        <f t="shared" ca="1" si="12"/>
        <v>3</v>
      </c>
      <c r="J37" s="165">
        <f t="shared" ca="1" si="12"/>
        <v>4</v>
      </c>
      <c r="K37" s="165">
        <f t="shared" ca="1" si="12"/>
        <v>4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86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87</v>
      </c>
      <c r="C41" s="165"/>
      <c r="D41" s="165"/>
      <c r="E41" s="165">
        <v>0</v>
      </c>
      <c r="F41" s="165"/>
      <c r="G41" s="165" t="s">
        <v>88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8" sqref="E2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dom</v>
      </c>
      <c r="E2" s="48">
        <f ca="1">TODAY()</f>
        <v>44724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44718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14</v>
      </c>
      <c r="G6" s="65"/>
      <c r="I6" s="66">
        <f>IF(D3="seg",E3-0,IF(D3="Ter",E3-1,IF(D3="qua",E3-2,IF(D3="qui",E3-3,IF(D3="ser",E3-4,IF(D3="Sab",E3-5,IF(D3="dom",E3-6,"False")))))))</f>
        <v>44718</v>
      </c>
      <c r="J6" s="67">
        <f t="shared" ref="J6:O6" si="0">I6+1</f>
        <v>44719</v>
      </c>
      <c r="K6" s="67">
        <f t="shared" si="0"/>
        <v>44720</v>
      </c>
      <c r="L6" s="67">
        <f t="shared" si="0"/>
        <v>44721</v>
      </c>
      <c r="M6" s="67">
        <f t="shared" si="0"/>
        <v>44722</v>
      </c>
      <c r="N6" s="68">
        <f t="shared" si="0"/>
        <v>44723</v>
      </c>
      <c r="O6" s="68">
        <f t="shared" si="0"/>
        <v>44724</v>
      </c>
      <c r="P6" s="69">
        <f>I6+7</f>
        <v>44725</v>
      </c>
      <c r="Q6" s="67">
        <f t="shared" ref="Q6:V6" si="1">P6+1</f>
        <v>44726</v>
      </c>
      <c r="R6" s="67">
        <f t="shared" si="1"/>
        <v>44727</v>
      </c>
      <c r="S6" s="67">
        <f t="shared" si="1"/>
        <v>44728</v>
      </c>
      <c r="T6" s="67">
        <f t="shared" si="1"/>
        <v>44729</v>
      </c>
      <c r="U6" s="68">
        <f t="shared" si="1"/>
        <v>44730</v>
      </c>
      <c r="V6" s="68">
        <f t="shared" si="1"/>
        <v>44731</v>
      </c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536</v>
      </c>
      <c r="D8" s="80"/>
      <c r="E8" s="81" t="s">
        <v>199</v>
      </c>
      <c r="F8" s="82">
        <v>1</v>
      </c>
      <c r="G8" s="83">
        <f>SUMIF(Sprint!$F$4:$F$1854,E8,Sprint!$AX$4:$AX$1854)</f>
        <v>416</v>
      </c>
      <c r="H8" s="84"/>
      <c r="I8" s="90" t="s">
        <v>204</v>
      </c>
      <c r="J8" s="91">
        <f t="shared" ref="I8:J18" ca="1" si="2">IF(J$6&lt;$E$3,0,IF(ISBLANK($E8),0,IF(J$6&lt;$E$2,0,1)))</f>
        <v>0</v>
      </c>
      <c r="K8" s="91">
        <f t="shared" ref="K8:M23" ca="1" si="3">IF(K$6&lt;$E$3,0,IF(ISBLANK($E8),0,IF(K$6&lt;$E$2,0,1)))</f>
        <v>0</v>
      </c>
      <c r="L8" s="91" t="s">
        <v>204</v>
      </c>
      <c r="M8" s="91">
        <v>0</v>
      </c>
      <c r="N8" s="85"/>
      <c r="O8" s="86"/>
      <c r="P8" s="90">
        <v>0</v>
      </c>
      <c r="Q8" s="91">
        <f t="shared" ref="P8:T18" ca="1" si="4">IF(Q$6&lt;$E$3,0,IF(ISBLANK($E8),0,IF(Q$6&lt;$E$2,0,1)))</f>
        <v>1</v>
      </c>
      <c r="R8" s="91">
        <f t="shared" ca="1" si="4"/>
        <v>1</v>
      </c>
      <c r="S8" s="91">
        <v>0</v>
      </c>
      <c r="T8" s="91" t="s">
        <v>204</v>
      </c>
      <c r="U8" s="85"/>
      <c r="V8" s="86"/>
      <c r="W8" s="199">
        <f t="shared" ref="W8:W25" ca="1" si="5">IF(E8="unassigned",0,(COUNTIF(I8:V8,1)*$C$6)*F8)</f>
        <v>16</v>
      </c>
      <c r="X8" s="200"/>
      <c r="Y8" s="200"/>
      <c r="Z8" s="200"/>
      <c r="AA8" s="200"/>
      <c r="AB8" s="201"/>
    </row>
    <row r="9" spans="2:28" ht="13.5" thickBot="1" x14ac:dyDescent="0.25">
      <c r="B9" s="87" t="s">
        <v>38</v>
      </c>
      <c r="C9" s="79">
        <f ca="1">SUM(W8:AB25)</f>
        <v>32</v>
      </c>
      <c r="D9" s="88"/>
      <c r="E9" s="18" t="s">
        <v>202</v>
      </c>
      <c r="F9" s="89">
        <v>1</v>
      </c>
      <c r="G9" s="83">
        <f>SUMIF(Sprint!$F$4:$F$1854,E9,Sprint!$AX$4:$AX$1854)</f>
        <v>120</v>
      </c>
      <c r="H9" s="84"/>
      <c r="I9" s="90" t="s">
        <v>204</v>
      </c>
      <c r="J9" s="91">
        <f t="shared" ca="1" si="2"/>
        <v>0</v>
      </c>
      <c r="K9" s="91">
        <f t="shared" ca="1" si="3"/>
        <v>0</v>
      </c>
      <c r="L9" s="91" t="s">
        <v>204</v>
      </c>
      <c r="M9" s="91">
        <v>0</v>
      </c>
      <c r="N9" s="92"/>
      <c r="O9" s="93"/>
      <c r="P9" s="90">
        <v>0</v>
      </c>
      <c r="Q9" s="91">
        <f t="shared" ca="1" si="4"/>
        <v>1</v>
      </c>
      <c r="R9" s="91">
        <f t="shared" ca="1" si="4"/>
        <v>1</v>
      </c>
      <c r="S9" s="91">
        <v>0</v>
      </c>
      <c r="T9" s="91" t="s">
        <v>204</v>
      </c>
      <c r="U9" s="92"/>
      <c r="V9" s="93"/>
      <c r="W9" s="199">
        <f t="shared" ca="1" si="5"/>
        <v>16</v>
      </c>
      <c r="X9" s="200"/>
      <c r="Y9" s="200"/>
      <c r="Z9" s="200"/>
      <c r="AA9" s="200"/>
      <c r="AB9" s="201"/>
    </row>
    <row r="10" spans="2:28" ht="13.5" thickBot="1" x14ac:dyDescent="0.25">
      <c r="B10" s="94" t="s">
        <v>39</v>
      </c>
      <c r="C10" s="95">
        <f ca="1">C8-C9</f>
        <v>504</v>
      </c>
      <c r="D10" s="62"/>
      <c r="E10" s="18"/>
      <c r="F10" s="89"/>
      <c r="G10" s="83">
        <f>SUMIF(Sprint!$F$4:$F$1854,E10,Sprint!$AX$4:$AX$1854)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v>0</v>
      </c>
      <c r="N10" s="92"/>
      <c r="O10" s="93"/>
      <c r="P10" s="90">
        <v>0</v>
      </c>
      <c r="Q10" s="91">
        <f t="shared" si="4"/>
        <v>0</v>
      </c>
      <c r="R10" s="91">
        <f t="shared" si="4"/>
        <v>0</v>
      </c>
      <c r="S10" s="91">
        <v>0</v>
      </c>
      <c r="T10" s="91">
        <f t="shared" si="4"/>
        <v>0</v>
      </c>
      <c r="U10" s="92"/>
      <c r="V10" s="93"/>
      <c r="W10" s="199">
        <f t="shared" si="5"/>
        <v>0</v>
      </c>
      <c r="X10" s="200"/>
      <c r="Y10" s="200"/>
      <c r="Z10" s="200"/>
      <c r="AA10" s="200"/>
      <c r="AB10" s="201"/>
    </row>
    <row r="11" spans="2:28" ht="13.5" thickBot="1" x14ac:dyDescent="0.25">
      <c r="B11" s="96"/>
      <c r="D11" s="97"/>
      <c r="E11" s="18"/>
      <c r="F11" s="89"/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9">
        <f t="shared" si="5"/>
        <v>0</v>
      </c>
      <c r="X11" s="200"/>
      <c r="Y11" s="200"/>
      <c r="Z11" s="200"/>
      <c r="AA11" s="200"/>
      <c r="AB11" s="201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9">
        <f t="shared" si="5"/>
        <v>0</v>
      </c>
      <c r="X12" s="200"/>
      <c r="Y12" s="200"/>
      <c r="Z12" s="200"/>
      <c r="AA12" s="200"/>
      <c r="AB12" s="201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9">
        <f t="shared" si="5"/>
        <v>0</v>
      </c>
      <c r="X13" s="200"/>
      <c r="Y13" s="200"/>
      <c r="Z13" s="200"/>
      <c r="AA13" s="200"/>
      <c r="AB13" s="201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9">
        <f t="shared" si="5"/>
        <v>0</v>
      </c>
      <c r="X14" s="200"/>
      <c r="Y14" s="200"/>
      <c r="Z14" s="200"/>
      <c r="AA14" s="200"/>
      <c r="AB14" s="201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9">
        <f t="shared" si="5"/>
        <v>0</v>
      </c>
      <c r="X15" s="200"/>
      <c r="Y15" s="200"/>
      <c r="Z15" s="200"/>
      <c r="AA15" s="200"/>
      <c r="AB15" s="201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9">
        <f t="shared" si="5"/>
        <v>0</v>
      </c>
      <c r="X16" s="200"/>
      <c r="Y16" s="200"/>
      <c r="Z16" s="200"/>
      <c r="AA16" s="200"/>
      <c r="AB16" s="201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9">
        <f t="shared" si="5"/>
        <v>0</v>
      </c>
      <c r="X17" s="200"/>
      <c r="Y17" s="200"/>
      <c r="Z17" s="200"/>
      <c r="AA17" s="200"/>
      <c r="AB17" s="201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9">
        <f t="shared" si="5"/>
        <v>0</v>
      </c>
      <c r="X18" s="200"/>
      <c r="Y18" s="200"/>
      <c r="Z18" s="200"/>
      <c r="AA18" s="200"/>
      <c r="AB18" s="201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9">
        <f t="shared" si="5"/>
        <v>0</v>
      </c>
      <c r="X19" s="200"/>
      <c r="Y19" s="200"/>
      <c r="Z19" s="200"/>
      <c r="AA19" s="200"/>
      <c r="AB19" s="201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9">
        <f t="shared" si="5"/>
        <v>0</v>
      </c>
      <c r="X20" s="200"/>
      <c r="Y20" s="200"/>
      <c r="Z20" s="200"/>
      <c r="AA20" s="200"/>
      <c r="AB20" s="201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9">
        <f t="shared" si="5"/>
        <v>0</v>
      </c>
      <c r="X21" s="200"/>
      <c r="Y21" s="200"/>
      <c r="Z21" s="200"/>
      <c r="AA21" s="200"/>
      <c r="AB21" s="201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9">
        <f t="shared" si="5"/>
        <v>0</v>
      </c>
      <c r="X22" s="200"/>
      <c r="Y22" s="200"/>
      <c r="Z22" s="200"/>
      <c r="AA22" s="200"/>
      <c r="AB22" s="201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9">
        <f t="shared" si="5"/>
        <v>0</v>
      </c>
      <c r="X23" s="200"/>
      <c r="Y23" s="200"/>
      <c r="Z23" s="200"/>
      <c r="AA23" s="200"/>
      <c r="AB23" s="201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9">
        <f t="shared" si="5"/>
        <v>0</v>
      </c>
      <c r="X24" s="200"/>
      <c r="Y24" s="200"/>
      <c r="Z24" s="200"/>
      <c r="AA24" s="200"/>
      <c r="AB24" s="201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9">
        <f t="shared" si="5"/>
        <v>0</v>
      </c>
      <c r="X25" s="200"/>
      <c r="Y25" s="200"/>
      <c r="Z25" s="200"/>
      <c r="AA25" s="200"/>
      <c r="AB25" s="201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 xr:uid="{00000000-0002-0000-02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I51"/>
  <sheetViews>
    <sheetView workbookViewId="0">
      <selection activeCell="C10" sqref="C10:C15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90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/>
      <c r="E7" s="137"/>
      <c r="F7" s="138"/>
      <c r="G7" s="138"/>
      <c r="H7" s="139"/>
    </row>
    <row r="8" spans="2:8" x14ac:dyDescent="0.2">
      <c r="C8" s="140" t="s">
        <v>200</v>
      </c>
      <c r="D8" s="187" t="s">
        <v>199</v>
      </c>
      <c r="E8" s="141">
        <v>2639999</v>
      </c>
      <c r="F8" s="142">
        <v>92333333</v>
      </c>
      <c r="G8" s="141" t="s">
        <v>100</v>
      </c>
      <c r="H8" s="141" t="s">
        <v>91</v>
      </c>
    </row>
    <row r="9" spans="2:8" x14ac:dyDescent="0.2">
      <c r="C9" s="140" t="s">
        <v>201</v>
      </c>
      <c r="D9" s="187" t="s">
        <v>202</v>
      </c>
      <c r="E9" s="141">
        <v>2635555</v>
      </c>
      <c r="F9" s="142">
        <v>91555555</v>
      </c>
      <c r="G9" s="141" t="s">
        <v>100</v>
      </c>
      <c r="H9" s="141" t="s">
        <v>91</v>
      </c>
    </row>
    <row r="10" spans="2:8" ht="11.25" customHeight="1" x14ac:dyDescent="0.2">
      <c r="C10" s="140" t="s">
        <v>97</v>
      </c>
      <c r="D10" s="141" t="s">
        <v>132</v>
      </c>
      <c r="E10" s="141" t="s">
        <v>93</v>
      </c>
      <c r="F10" s="142" t="s">
        <v>94</v>
      </c>
      <c r="G10" s="141" t="s">
        <v>100</v>
      </c>
      <c r="H10" s="141" t="s">
        <v>91</v>
      </c>
    </row>
    <row r="11" spans="2:8" x14ac:dyDescent="0.2">
      <c r="C11" s="140" t="s">
        <v>97</v>
      </c>
      <c r="D11" s="141" t="s">
        <v>132</v>
      </c>
      <c r="E11" s="141" t="s">
        <v>93</v>
      </c>
      <c r="F11" s="142" t="s">
        <v>94</v>
      </c>
      <c r="G11" s="141" t="s">
        <v>100</v>
      </c>
      <c r="H11" s="141" t="s">
        <v>91</v>
      </c>
    </row>
    <row r="12" spans="2:8" x14ac:dyDescent="0.2">
      <c r="C12" s="140" t="s">
        <v>97</v>
      </c>
      <c r="D12" s="141" t="s">
        <v>132</v>
      </c>
      <c r="E12" s="141" t="s">
        <v>93</v>
      </c>
      <c r="F12" s="142" t="s">
        <v>94</v>
      </c>
      <c r="G12" s="141" t="s">
        <v>100</v>
      </c>
      <c r="H12" s="141" t="s">
        <v>91</v>
      </c>
    </row>
    <row r="13" spans="2:8" x14ac:dyDescent="0.2">
      <c r="C13" s="140" t="s">
        <v>97</v>
      </c>
      <c r="D13" s="141" t="s">
        <v>132</v>
      </c>
      <c r="E13" s="141" t="s">
        <v>93</v>
      </c>
      <c r="F13" s="142" t="s">
        <v>94</v>
      </c>
      <c r="G13" s="141" t="s">
        <v>100</v>
      </c>
      <c r="H13" s="141" t="s">
        <v>91</v>
      </c>
    </row>
    <row r="14" spans="2:8" x14ac:dyDescent="0.2">
      <c r="C14" s="140" t="s">
        <v>97</v>
      </c>
      <c r="D14" s="141" t="s">
        <v>132</v>
      </c>
      <c r="E14" s="141" t="s">
        <v>93</v>
      </c>
      <c r="F14" s="142" t="s">
        <v>94</v>
      </c>
      <c r="G14" s="141" t="s">
        <v>100</v>
      </c>
      <c r="H14" s="141" t="s">
        <v>91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 xr:uid="{678766C3-00A3-4795-95E8-8E7A2376CC72}"/>
    <hyperlink ref="D9" r:id="rId2" xr:uid="{1B18FBA7-1915-4FB4-BCE0-792D3E7939AA}"/>
  </hyperlinks>
  <pageMargins left="0.75" right="0.75" top="1" bottom="1" header="0.5" footer="0.5"/>
  <pageSetup paperSize="9" orientation="portrait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33"/>
  <sheetViews>
    <sheetView workbookViewId="0">
      <selection activeCell="A30" sqref="A30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f>COUNTIF(Sprint!$A$4:$A$92, "Feature")</f>
        <v>28</v>
      </c>
      <c r="C2" s="181">
        <f>B2/$B$6</f>
        <v>1</v>
      </c>
    </row>
    <row r="3" spans="1:3" ht="15" x14ac:dyDescent="0.25">
      <c r="A3" s="174" t="s">
        <v>105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106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107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127</v>
      </c>
      <c r="B6" s="182">
        <f>SUM(B2:B5)</f>
        <v>28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f>COUNTIF(Sprint!$B$4:$B$209, "Data Model")</f>
        <v>0</v>
      </c>
      <c r="C9" s="181">
        <f>B9/$B$25</f>
        <v>0</v>
      </c>
    </row>
    <row r="10" spans="1:3" ht="15" x14ac:dyDescent="0.25">
      <c r="A10" s="174" t="s">
        <v>110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111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112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113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114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115</v>
      </c>
      <c r="B15" s="175">
        <f>COUNTIF(Sprint!$B$4:$B$209, "Views")</f>
        <v>23</v>
      </c>
      <c r="C15" s="181">
        <f t="shared" si="1"/>
        <v>0.8214285714285714</v>
      </c>
    </row>
    <row r="16" spans="1:3" ht="15" x14ac:dyDescent="0.25">
      <c r="A16" s="174" t="s">
        <v>116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117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118</v>
      </c>
      <c r="B18" s="175">
        <f>COUNTIF(Sprint!$B$4:$B$209, "Notifications")</f>
        <v>4</v>
      </c>
      <c r="C18" s="181">
        <f t="shared" si="1"/>
        <v>0.14285714285714285</v>
      </c>
    </row>
    <row r="19" spans="1:3" ht="15" x14ac:dyDescent="0.25">
      <c r="A19" s="174" t="s">
        <v>119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120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121</v>
      </c>
      <c r="B21" s="175">
        <f>COUNTIF(Sprint!$B$4:$B$209, "Deployment")</f>
        <v>0</v>
      </c>
      <c r="C21" s="181">
        <f t="shared" si="1"/>
        <v>0</v>
      </c>
    </row>
    <row r="22" spans="1:3" ht="15" x14ac:dyDescent="0.25">
      <c r="A22" s="174" t="s">
        <v>122</v>
      </c>
      <c r="B22" s="175">
        <f>COUNTIF(Sprint!$B$4:$B$209, "Documentation")</f>
        <v>0</v>
      </c>
      <c r="C22" s="181">
        <f t="shared" si="1"/>
        <v>0</v>
      </c>
    </row>
    <row r="23" spans="1:3" ht="15" x14ac:dyDescent="0.25">
      <c r="A23" s="174" t="s">
        <v>123</v>
      </c>
      <c r="B23" s="175">
        <f>COUNTIF(Sprint!$B$4:$B$209, "Testing")</f>
        <v>1</v>
      </c>
      <c r="C23" s="181">
        <f t="shared" si="1"/>
        <v>3.5714285714285712E-2</v>
      </c>
    </row>
    <row r="24" spans="1:3" ht="15" x14ac:dyDescent="0.25">
      <c r="A24" s="174" t="s">
        <v>124</v>
      </c>
      <c r="B24" s="175">
        <f>COUNTIF(Sprint!$B$4:$B$209, "Project Mgt")</f>
        <v>0</v>
      </c>
      <c r="C24" s="181">
        <f t="shared" si="1"/>
        <v>0</v>
      </c>
    </row>
    <row r="25" spans="1:3" ht="15" x14ac:dyDescent="0.25">
      <c r="A25" s="176" t="s">
        <v>127</v>
      </c>
      <c r="B25" s="180">
        <f>SUM(B9:B24)</f>
        <v>28</v>
      </c>
      <c r="C25" s="181">
        <f>SUM(C9:C24)</f>
        <v>0.99999999999999989</v>
      </c>
    </row>
    <row r="27" spans="1:3" ht="15" x14ac:dyDescent="0.25">
      <c r="A27" s="179" t="s">
        <v>126</v>
      </c>
    </row>
    <row r="28" spans="1:3" ht="15" x14ac:dyDescent="0.25">
      <c r="A28" s="174" t="s">
        <v>128</v>
      </c>
      <c r="B28" s="175">
        <f ca="1">COUNTIF(Sprint!$G$4:$G$92, "Complete")</f>
        <v>4</v>
      </c>
      <c r="C28" s="181">
        <f ca="1">B28/$B$33</f>
        <v>6.8965517241379309E-2</v>
      </c>
    </row>
    <row r="29" spans="1:3" ht="15" x14ac:dyDescent="0.25">
      <c r="A29" s="174" t="s">
        <v>129</v>
      </c>
      <c r="B29" s="175">
        <f ca="1">COUNTIF(Sprint!$G$4:$G$92, "In Progress")</f>
        <v>1</v>
      </c>
      <c r="C29" s="181">
        <f t="shared" ref="C29:C32" ca="1" si="2">B29/$B$33</f>
        <v>1.7241379310344827E-2</v>
      </c>
    </row>
    <row r="30" spans="1:3" ht="15" x14ac:dyDescent="0.25">
      <c r="A30" s="174" t="s">
        <v>130</v>
      </c>
      <c r="B30" s="175">
        <f ca="1">COUNTIF(Sprint!$G$4:$G$92, "Pending")</f>
        <v>53</v>
      </c>
      <c r="C30" s="181">
        <f t="shared" ca="1" si="2"/>
        <v>0.91379310344827591</v>
      </c>
    </row>
    <row r="31" spans="1:3" ht="15" x14ac:dyDescent="0.25">
      <c r="A31" s="174" t="s">
        <v>125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131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127</v>
      </c>
      <c r="B33" s="185">
        <f ca="1">SUM(B28:B32)</f>
        <v>58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5</vt:i4>
      </vt:variant>
      <vt:variant>
        <vt:lpstr>Intervalos com Nome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Capacity!Área_de_Impressão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miguel carreta</cp:lastModifiedBy>
  <cp:revision>1</cp:revision>
  <cp:lastPrinted>2005-08-15T09:18:22Z</cp:lastPrinted>
  <dcterms:created xsi:type="dcterms:W3CDTF">2005-01-26T21:50:47Z</dcterms:created>
  <dcterms:modified xsi:type="dcterms:W3CDTF">2022-06-12T20:28:54Z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